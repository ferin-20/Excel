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45" windowHeight="74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<sst xmlns="http://schemas.openxmlformats.org/spreadsheetml/2006/main" count="79" uniqueCount="51">
  <si>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</si>
  <si>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</si>
  <si>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</si>
  <si>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</si>
  <si>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</si>
  <si>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</si>
  <si>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</si>
  <si>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</si>
  <si>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</si>
  <si>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</si>
  <si>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Joining year</t>
  </si>
  <si>
    <t>E102</t>
  </si>
  <si>
    <t>Ananya Gupta</t>
  </si>
  <si>
    <t>HR</t>
  </si>
  <si>
    <t>Delhi</t>
  </si>
  <si>
    <t>Rahul shah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</si>
  <si>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</si>
  <si>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</si>
  <si>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</si>
  <si>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</si>
  <si>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</si>
  <si>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</si>
  <si>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</si>
  <si>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</si>
  <si>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</si>
  <si>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</si>
  <si>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</si>
  <si>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</si>
  <si>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</si>
  <si>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</si>
  <si>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find name</t>
  </si>
  <si>
    <t>E107</t>
  </si>
  <si>
    <t>Suresh Rao</t>
  </si>
  <si>
    <t>Hyderabad</t>
  </si>
  <si>
    <t>employee id</t>
  </si>
  <si>
    <t>name</t>
  </si>
  <si>
    <t>E108</t>
  </si>
  <si>
    <t>Kavita Iyer</t>
  </si>
  <si>
    <t>find department</t>
  </si>
  <si>
    <t>FIND salay</t>
  </si>
  <si>
    <t>neha singh</t>
  </si>
  <si>
    <t>find locaton</t>
  </si>
  <si>
    <t>suresh rao</t>
  </si>
  <si>
    <t>E110</t>
  </si>
  <si>
    <t>find the bonus for IT department</t>
  </si>
  <si>
    <t>bonus %</t>
  </si>
  <si>
    <t>Bonus %</t>
  </si>
  <si>
    <t>EMPLOYEE ID</t>
  </si>
  <si>
    <t>SALARY</t>
  </si>
  <si>
    <t>Rohit Varma</t>
  </si>
  <si>
    <t>find location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</si>
</sst>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rgb="FF1F2328"/>
      <name val="Segoe UI"/>
      <charset val="134"/>
    </font>
    <font>
      <sz val="16.5"/>
      <color rgb="FF1F2328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right" vertical="center" wrapText="1" indent="1"/>
    </xf>
    <xf numFmtId="0" fontId="0" fillId="2" borderId="1" xfId="0" applyFill="1" applyBorder="1" applyAlignment="1">
      <alignment horizontal="lef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6"/>
  <sheetViews>
    <sheetView tabSelected="1" workbookViewId="0">
      <selection activeCell="D29" sqref="D29"/>
    </sheetView>
  </sheetViews>
  <sheetFormatPr defaultColWidth="9" defaultRowHeight="15"/>
  <cols>
    <col min="1" max="1" width="8.42857142857143" customWidth="1"/>
    <col min="2" max="2" width="14.7142857142857" customWidth="1"/>
    <col min="7" max="7" width="13" customWidth="1"/>
    <col min="15" max="15" width="12.1428571428571" customWidth="1"/>
  </cols>
  <sheetData>
    <row r="2" ht="15.75"/>
    <row r="3" ht="18" spans="2:16">
      <c r="B3" s="3" t="s">
        <v>0</v>
      </c>
      <c r="C3" s="11" t="s">
        <v>1</v>
      </c>
      <c r="D3" s="11" t="s">
        <v>2</v>
      </c>
      <c r="E3" s="11" t="s">
        <v>3</v>
      </c>
      <c r="F3" s="3" t="s">
        <v>4</v>
      </c>
      <c r="G3" s="3" t="s">
        <v>5</v>
      </c>
    </row>
    <row r="4" ht="18" spans="2:16">
      <c r="B4" s="3" t="s">
        <v>6</v>
      </c>
      <c r="C4" s="4" t="s">
        <v>7</v>
      </c>
      <c r="D4" s="4" t="s">
        <v>8</v>
      </c>
      <c r="E4" s="4" t="s">
        <v>9</v>
      </c>
      <c r="F4" s="3">
        <v>45000</v>
      </c>
      <c r="G4" s="3">
        <v>2019</v>
      </c>
      <c r="O4" t="s">
        <v>10</v>
      </c>
    </row>
    <row r="5" ht="18" spans="2:16">
      <c r="B5" s="12" t="s">
        <v>11</v>
      </c>
      <c r="C5" s="13" t="s">
        <v>12</v>
      </c>
      <c r="D5" s="13" t="s">
        <v>13</v>
      </c>
      <c r="E5" s="13" t="s">
        <v>14</v>
      </c>
      <c r="F5" s="12">
        <v>52000</v>
      </c>
      <c r="G5" s="12">
        <v>2018</v>
      </c>
      <c r="N5" t="s">
        <v>6</v>
      </c>
      <c r="O5" t="s">
        <v>15</v>
      </c>
    </row>
    <row r="6" ht="18" spans="2:16">
      <c r="B6" s="3" t="s">
        <v>16</v>
      </c>
      <c r="C6" s="4" t="s">
        <v>17</v>
      </c>
      <c r="D6" s="4" t="s">
        <v>18</v>
      </c>
      <c r="E6" s="4" t="s">
        <v>19</v>
      </c>
      <c r="F6" s="3">
        <v>65000</v>
      </c>
      <c r="G6" s="3">
        <v>2020</v>
      </c>
    </row>
    <row r="7" ht="18" spans="2:16">
      <c r="B7" s="12" t="s">
        <v>20</v>
      </c>
      <c r="C7" s="13" t="s">
        <v>21</v>
      </c>
      <c r="D7" s="13" t="s">
        <v>22</v>
      </c>
      <c r="E7" s="13" t="s">
        <v>23</v>
      </c>
      <c r="F7" s="12">
        <v>58000</v>
      </c>
      <c r="G7" s="12">
        <v>2017</v>
      </c>
    </row>
    <row r="8" ht="18" spans="2:16">
      <c r="B8" s="3" t="s">
        <v>24</v>
      </c>
      <c r="C8" s="4" t="s">
        <v>25</v>
      </c>
      <c r="D8" s="4" t="s">
        <v>26</v>
      </c>
      <c r="E8" s="4" t="s">
        <v>9</v>
      </c>
      <c r="F8" s="3">
        <v>48000</v>
      </c>
      <c r="G8" s="3">
        <v>2021</v>
      </c>
    </row>
    <row r="9" ht="18" spans="2:16">
      <c r="B9" s="12" t="s">
        <v>27</v>
      </c>
      <c r="C9" s="13" t="s">
        <v>28</v>
      </c>
      <c r="D9" s="13" t="s">
        <v>18</v>
      </c>
      <c r="E9" s="13" t="s">
        <v>29</v>
      </c>
      <c r="F9" s="12">
        <v>62000</v>
      </c>
      <c r="G9" s="12">
        <v>2019</v>
      </c>
      <c r="P9" t="s">
        <v>30</v>
      </c>
    </row>
    <row r="10" ht="18" spans="2:16">
      <c r="B10" s="3" t="s">
        <v>31</v>
      </c>
      <c r="C10" s="4" t="s">
        <v>32</v>
      </c>
      <c r="D10" s="4" t="s">
        <v>8</v>
      </c>
      <c r="E10" s="4" t="s">
        <v>33</v>
      </c>
      <c r="F10" s="3">
        <v>47000</v>
      </c>
      <c r="G10" s="3">
        <v>2020</v>
      </c>
      <c r="O10" t="s">
        <v>34</v>
      </c>
      <c r="P10" t="s">
        <v>35</v>
      </c>
    </row>
    <row r="11" ht="18" spans="2:16">
      <c r="B11" s="12" t="s">
        <v>36</v>
      </c>
      <c r="C11" s="13" t="s">
        <v>37</v>
      </c>
      <c r="D11" s="13" t="s">
        <v>13</v>
      </c>
      <c r="E11" s="13" t="s">
        <v>19</v>
      </c>
      <c r="F11" s="12">
        <v>54000</v>
      </c>
      <c r="G11" s="12">
        <v>2016</v>
      </c>
      <c r="O11" t="s">
        <v>11</v>
      </c>
      <c r="P11" t="str">
        <f>VLOOKUP(O11,B3:G11,2,0)</f>
        <v>Ananya Gupta</v>
      </c>
    </row>
    <row r="16" spans="2:16">
      <c r="P16" t="s">
        <v>38</v>
      </c>
    </row>
    <row r="17" spans="15:18">
      <c r="O17" t="s">
        <v>16</v>
      </c>
      <c r="P17" t="str">
        <f>VLOOKUP(O17,B3:G11,3,0)</f>
        <v>IT</v>
      </c>
    </row>
    <row r="19" spans="15:18">
      <c r="P19" t="s">
        <v>39</v>
      </c>
    </row>
    <row r="20" spans="15:18">
      <c r="O20" t="s">
        <v>20</v>
      </c>
      <c r="P20" t="s">
        <v>40</v>
      </c>
      <c r="R20">
        <f>VLOOKUP(P20,C3:G11,4,0)</f>
        <v>58000</v>
      </c>
    </row>
    <row r="23" spans="15:18">
      <c r="P23" t="s">
        <v>41</v>
      </c>
    </row>
    <row r="24" spans="15:18">
      <c r="O24" t="s">
        <v>31</v>
      </c>
      <c r="P24" t="s">
        <v>42</v>
      </c>
      <c r="Q24" t="str">
        <f>VLOOKUP(P24,C3:G11,3,0)</f>
        <v>Hyderabad</v>
      </c>
    </row>
    <row r="26" spans="15:18">
      <c r="O26" t="s">
        <v>43</v>
      </c>
      <c r="P26" t="str">
        <f>IFERROR(VLOOKUP(O26,B3:G11,1,0),"not found")</f>
        <v>not found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U9"/>
  <sheetViews>
    <sheetView topLeftCell="B1" workbookViewId="0">
      <selection activeCell="H4" sqref="H4"/>
    </sheetView>
  </sheetViews>
  <sheetFormatPr defaultColWidth="9" defaultRowHeight="15"/>
  <sheetData>
    <row r="2" spans="5:21">
      <c r="F2" t="s">
        <v>44</v>
      </c>
    </row>
    <row r="3" spans="5:21">
      <c r="F3" t="s">
        <v>2</v>
      </c>
      <c r="H3" t="s">
        <v>45</v>
      </c>
    </row>
    <row r="4" spans="5:21">
      <c r="F4" t="s">
        <v>18</v>
      </c>
    </row>
    <row r="5" ht="25.5" spans="5:21">
      <c r="E5" s="5"/>
    </row>
    <row r="6" ht="15.75" spans="5:21">
      <c r="E6" s="6"/>
      <c r="F6" s="7"/>
      <c r="G6" s="7"/>
      <c r="H6" s="7"/>
      <c r="I6" s="7"/>
      <c r="J6" s="7"/>
      <c r="P6" t="s">
        <v>2</v>
      </c>
      <c r="Q6" t="s">
        <v>8</v>
      </c>
      <c r="R6" t="s">
        <v>13</v>
      </c>
      <c r="S6" t="s">
        <v>18</v>
      </c>
      <c r="T6" t="s">
        <v>22</v>
      </c>
      <c r="U6" t="s">
        <v>26</v>
      </c>
    </row>
    <row r="7" ht="15.75" spans="5:21">
      <c r="E7" s="8"/>
      <c r="F7" s="9"/>
      <c r="G7" s="9"/>
      <c r="H7" s="9"/>
      <c r="I7" s="9"/>
      <c r="J7" s="9"/>
      <c r="P7" t="s">
        <v>46</v>
      </c>
      <c r="Q7" s="10">
        <v>0.1</v>
      </c>
      <c r="R7" s="10">
        <v>0.08</v>
      </c>
      <c r="S7" s="10">
        <v>0.12</v>
      </c>
      <c r="T7" s="10">
        <v>0.15</v>
      </c>
      <c r="U7" s="10">
        <v>0.09</v>
      </c>
    </row>
    <row r="9" ht="24.75" spans="5:21">
      <c r="E9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10"/>
  <sheetViews>
    <sheetView workbookViewId="0">
      <selection activeCell="P10" sqref="P10"/>
    </sheetView>
  </sheetViews>
  <sheetFormatPr defaultColWidth="9" defaultRowHeight="15"/>
  <sheetData>
    <row r="2" ht="15.75"/>
    <row r="3" ht="30.75" spans="3:14">
      <c r="C3" s="1" t="s">
        <v>47</v>
      </c>
      <c r="D3" s="1" t="s">
        <v>1</v>
      </c>
      <c r="G3" t="s">
        <v>47</v>
      </c>
      <c r="I3" t="s">
        <v>48</v>
      </c>
    </row>
    <row r="4" ht="30.75" spans="3:14">
      <c r="C4" s="2" t="s">
        <v>20</v>
      </c>
      <c r="D4" s="2" t="s">
        <v>17</v>
      </c>
      <c r="G4" t="s">
        <v>20</v>
      </c>
    </row>
    <row r="7" ht="15.75"/>
    <row r="8" ht="18" spans="3:14">
      <c r="E8" s="3" t="s">
        <v>16</v>
      </c>
      <c r="F8" s="4" t="s">
        <v>49</v>
      </c>
      <c r="G8" s="4" t="s">
        <v>18</v>
      </c>
      <c r="H8" s="4" t="s">
        <v>19</v>
      </c>
      <c r="I8" s="3">
        <v>65000</v>
      </c>
      <c r="J8" s="3">
        <v>2020</v>
      </c>
      <c r="N8" t="s">
        <v>50</v>
      </c>
    </row>
    <row r="10" spans="3:14">
      <c r="M10" t="s">
        <v>16</v>
      </c>
      <c r="N10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2026-06-29T09:50:00Z</dcterms:created>
  <dcterms:modified xsi:type="dcterms:W3CDTF">2026-06-30T06:14:23Z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CE7A0BC4BDEF4E57BC21DC67754F104E_12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