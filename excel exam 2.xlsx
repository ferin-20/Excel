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ownloads\"/>
    </mc:Choice>
  </mc:AlternateContent>
  <xr:revisionPtr revIDLastSave="0" documentId="8_{DFBADF1D-E0B2-4F0C-8E1C-AD423296C9BB}" xr6:coauthVersionLast="47" xr6:coauthVersionMax="47" xr10:uidLastSave="{00000000-0000-0000-0000-000000000000}"/>
  <bookViews>
    <workbookView xWindow="-120" yWindow="-120" windowWidth="29040" windowHeight="15720" xr2:uid="{EF36AE8C-91DC-4238-B7F6-B9736E691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3" i="1" l="1"/>
  <c r="E119" i="1"/>
  <c r="E117" i="1"/>
  <c r="E115" i="1"/>
  <c r="E113" i="1"/>
  <c r="E111" i="1"/>
  <c r="A11" i="1" a="1"/>
  <c r="A11" i="1" s="1"/>
  <c r="A12" i="1" a="1"/>
  <c r="A12" i="1" s="1"/>
  <c r="A13" i="1" a="1"/>
  <c r="A13" i="1" s="1"/>
  <c r="A14" i="1" a="1"/>
  <c r="A14" i="1" s="1"/>
  <c r="A171" i="1" a="1"/>
  <c r="A171" i="1" s="1"/>
  <c r="A172" i="1" a="1"/>
  <c r="A172" i="1" s="1"/>
  <c r="A173" i="1" a="1"/>
  <c r="A173" i="1" s="1"/>
  <c r="A174" i="1" a="1"/>
  <c r="A174" i="1" s="1"/>
  <c r="A180" i="1" a="1"/>
  <c r="A180" i="1" s="1"/>
  <c r="A181" i="1" a="1"/>
  <c r="A181" i="1" s="1"/>
  <c r="A182" i="1" a="1"/>
  <c r="A182" i="1" s="1"/>
  <c r="A183" i="1" a="1"/>
  <c r="A183" i="1" s="1"/>
  <c r="A189" i="1" a="1"/>
  <c r="A189" i="1" s="1"/>
  <c r="A190" i="1" a="1"/>
  <c r="A190" i="1" s="1"/>
  <c r="A191" i="1" a="1"/>
  <c r="A191" i="1" s="1"/>
  <c r="A192" i="1" a="1"/>
  <c r="A192" i="1" s="1"/>
  <c r="A198" i="1" a="1"/>
  <c r="A198" i="1" s="1"/>
  <c r="A199" i="1" a="1"/>
  <c r="A199" i="1" s="1"/>
  <c r="A200" i="1" a="1"/>
  <c r="A200" i="1" s="1"/>
  <c r="A201" i="1" a="1"/>
  <c r="A201" i="1" s="1"/>
  <c r="A208" i="1" a="1"/>
  <c r="A208" i="1" s="1"/>
  <c r="A262" i="1" a="1"/>
  <c r="A262" i="1" s="1"/>
  <c r="A263" i="1" a="1"/>
  <c r="A263" i="1" s="1"/>
  <c r="A264" i="1"/>
  <c r="A265" i="1" a="1"/>
  <c r="A265" i="1"/>
  <c r="A266" i="1" a="1"/>
  <c r="A266" i="1" s="1"/>
  <c r="A267" i="1" a="1"/>
  <c r="A267" i="1" s="1"/>
  <c r="A268" i="1" a="1"/>
  <c r="A268" i="1"/>
  <c r="A269" i="1" a="1"/>
  <c r="A26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<sst xmlns="http://schemas.openxmlformats.org/spreadsheetml/2006/main" count="236" uniqueCount="206">
  <si>
    <t># Adani Skill Development Centre (ASDC)</t>
  </si>
  <si>
    <t># Data Analytics Batch -- Examination</t>
  </si>
  <si>
    <t>- **Course:** Data Analytics</t>
  </si>
  <si>
    <t>- **Duration:** 2 Hours</t>
  </si>
  <si>
    <t>- **Maximum Marks:** 100</t>
  </si>
  <si>
    <t>## Modules Covered</t>
  </si>
  <si>
    <t>------------------------------------------------------------------------</t>
  </si>
  <si>
    <t># Instructions</t>
  </si>
  <si>
    <t>1.  Attempt all questions.</t>
  </si>
  <si>
    <t>2.  Write SQL queries wherever required.</t>
  </si>
  <si>
    <t>3.  Show calculations for Statistics questions.</t>
  </si>
  <si>
    <t>4.  Use appropriate formulas in Excel.</t>
  </si>
  <si>
    <t>5.  Save all practical files with your `BatchName_StudentName`.</t>
  </si>
  <si>
    <t>6.  Read all questions carefully before attempting.</t>
  </si>
  <si>
    <t># Section A -- Statistics (20 Marks)</t>
  </si>
  <si>
    <t xml:space="preserve">## Part A -- MCQs </t>
  </si>
  <si>
    <t>1.  Which measure represents the middle value of a dataset?</t>
  </si>
  <si>
    <t xml:space="preserve">    -   A. Mean</t>
  </si>
  <si>
    <t xml:space="preserve">    -   B. Median</t>
  </si>
  <si>
    <t xml:space="preserve">    -   C. Mode</t>
  </si>
  <si>
    <t xml:space="preserve">    -   D. Range</t>
  </si>
  <si>
    <t>2.  Which measure is least affected by outliers?</t>
  </si>
  <si>
    <t xml:space="preserve">    -   C. Range</t>
  </si>
  <si>
    <t xml:space="preserve">    -   D. Variance</t>
  </si>
  <si>
    <t>3.  Which graph is commonly used for grouped frequency distribution?</t>
  </si>
  <si>
    <t xml:space="preserve">    -   A. Pie Chart</t>
  </si>
  <si>
    <t xml:space="preserve">    -   B. Histogram</t>
  </si>
  <si>
    <t xml:space="preserve">    -   C. Scatter Plot</t>
  </si>
  <si>
    <t xml:space="preserve">    -   D. Area Chart</t>
  </si>
  <si>
    <t>4.  Frequency means:</t>
  </si>
  <si>
    <t xml:space="preserve">    -   A. Total observations</t>
  </si>
  <si>
    <t xml:space="preserve">    -   B. Number of occurrences</t>
  </si>
  <si>
    <t xml:space="preserve">    -   C. Highest value</t>
  </si>
  <si>
    <t xml:space="preserve">    -   D. Average value</t>
  </si>
  <si>
    <t>5.  Range is calculated as:</t>
  </si>
  <si>
    <t xml:space="preserve">    -   A. Highest + Lowest</t>
  </si>
  <si>
    <t xml:space="preserve">    -   B. Highest − Lowest</t>
  </si>
  <si>
    <t xml:space="preserve">    -   C. Mean − Median</t>
  </si>
  <si>
    <t xml:space="preserve">    -   D. Median − Mode</t>
  </si>
  <si>
    <t xml:space="preserve">## Part B -- Practical </t>
  </si>
  <si>
    <t>### Q2. Ungrouped Data</t>
  </si>
  <si>
    <t>```</t>
  </si>
  <si>
    <t xml:space="preserve">  Student     Marks</t>
  </si>
  <si>
    <t xml:space="preserve">  --------- -------</t>
  </si>
  <si>
    <t xml:space="preserve">  S1             65</t>
  </si>
  <si>
    <t xml:space="preserve">  S2             70</t>
  </si>
  <si>
    <t xml:space="preserve">  S3             72</t>
  </si>
  <si>
    <t xml:space="preserve">  S4             68</t>
  </si>
  <si>
    <t xml:space="preserve">  S5             75</t>
  </si>
  <si>
    <t xml:space="preserve">  S6             80</t>
  </si>
  <si>
    <t xml:space="preserve">  S7             72</t>
  </si>
  <si>
    <t xml:space="preserve">  S8             68</t>
  </si>
  <si>
    <t xml:space="preserve">  S9             90</t>
  </si>
  <si>
    <t xml:space="preserve">  S10            70</t>
  </si>
  <si>
    <t>Calculate: - Mean - Median - Mode - Range</t>
  </si>
  <si>
    <t>### Q3. Grouped Data</t>
  </si>
  <si>
    <t xml:space="preserve">  Class Interval     Frequency</t>
  </si>
  <si>
    <t xml:space="preserve">  ---------------- -----------</t>
  </si>
  <si>
    <t xml:space="preserve">  0--10                      4</t>
  </si>
  <si>
    <t xml:space="preserve">  10--20                     6</t>
  </si>
  <si>
    <t xml:space="preserve">  20--30                     8</t>
  </si>
  <si>
    <t xml:space="preserve">  30--40                    10</t>
  </si>
  <si>
    <t xml:space="preserve">  40--50                     5</t>
  </si>
  <si>
    <t xml:space="preserve">  50--60                     7</t>
  </si>
  <si>
    <t>Calculate: - Midpoint of each class - Mean using Direct Method</t>
  </si>
  <si>
    <t># Section B -- Microsoft Excel (25 Marks)</t>
  </si>
  <si>
    <t>## Dataset: Employee_Data</t>
  </si>
  <si>
    <t xml:space="preserve">  --------------------------------------------------------------------------------</t>
  </si>
  <si>
    <t xml:space="preserve">    EmpID Name    Department    City          Salary    Experience    Joining Year</t>
  </si>
  <si>
    <t xml:space="preserve">  ------- ------- ------------- ----------- -------- ------------- ---------------</t>
  </si>
  <si>
    <t xml:space="preserve">      101 Rahul   Sales         Ahmedabad      42000             2            2022</t>
  </si>
  <si>
    <t xml:space="preserve">      102 Priya   HR            Mumbai         55000             5            2019</t>
  </si>
  <si>
    <t xml:space="preserve">      103 Amit    IT            Pune           70000             6            2018</t>
  </si>
  <si>
    <t xml:space="preserve">      104 Sneha   Finance       Delhi          48000             3            2021</t>
  </si>
  <si>
    <t xml:space="preserve">      105 Karan   Sales         Jaipur         38000             1            2024</t>
  </si>
  <si>
    <t xml:space="preserve">      106 Neha    HR            Ahmedabad      62000             7            2017</t>
  </si>
  <si>
    <t xml:space="preserve">      107 Mohit   IT            Surat          85000             8            2016</t>
  </si>
  <si>
    <t xml:space="preserve">      108 Riya    Finance       Mumbai         53000             4            2020</t>
  </si>
  <si>
    <t xml:space="preserve">      109 Ajay    IT            Delhi          76000             6            2018</t>
  </si>
  <si>
    <t xml:space="preserve">      110 Pooja   Sales         Ahmedabad      47000             3            2021</t>
  </si>
  <si>
    <t>### Formula Based</t>
  </si>
  <si>
    <t>1.  Total Salary</t>
  </si>
  <si>
    <t>2.  Average Salary</t>
  </si>
  <si>
    <t>3.  Highest Salary</t>
  </si>
  <si>
    <t>4.  Lowest Salary</t>
  </si>
  <si>
    <t>5.  Count Total Employees</t>
  </si>
  <si>
    <t>6.  IF (Salary ≥ 50000 → "High", otherwise "Low")</t>
  </si>
  <si>
    <t>7.  COUNTIF (Sales Department)</t>
  </si>
  <si>
    <t>8.  SUMIF (IT Department Salary)</t>
  </si>
  <si>
    <t>9.  VLOOKUP (Find Salary using EmpID)</t>
  </si>
  <si>
    <t>10. XLOOKUP (Find Department using Employee Name)</t>
  </si>
  <si>
    <t>### Practical</t>
  </si>
  <si>
    <t>1.  Convert data into Table.</t>
  </si>
  <si>
    <t>2.  Apply Filters.</t>
  </si>
  <si>
    <t>3.  Sort Salary Highest to Lowest.</t>
  </si>
  <si>
    <t>4.  Conditional Formatting for Salary \&gt; ₹60,000.</t>
  </si>
  <si>
    <t>5.  Pivot Table (Department-wise Total Salary).</t>
  </si>
  <si>
    <t>6.  Pie Chart.</t>
  </si>
  <si>
    <t>7.  Freeze First Row.</t>
  </si>
  <si>
    <t>8.  Data Validation on Department.</t>
  </si>
  <si>
    <t>9.  Remove Duplicates.</t>
  </si>
  <si>
    <t>10. Format Salary as Currency.</t>
  </si>
  <si>
    <t># Section C -- SQL (30 Marks)</t>
  </si>
  <si>
    <t xml:space="preserve">### Fill in the Blanks </t>
  </si>
  <si>
    <t>1. SQL stands for ________________________.</t>
  </si>
  <si>
    <t>2. __________________ statement is used to create a database.</t>
  </si>
  <si>
    <t>3. __________________ clause filters grouped records.</t>
  </si>
  <si>
    <t>4. __________________ clause is used to arrange records in ascending or descending order.</t>
  </si>
  <si>
    <t>5. COUNT(), SUM(), AVG(), MAX(), and MIN() are called __________________ functions.</t>
  </si>
  <si>
    <t>---</t>
  </si>
  <si>
    <t xml:space="preserve">### Multiple Choice Questions </t>
  </si>
  <si>
    <t>**6. Which command inserts new records into a table?**</t>
  </si>
  <si>
    <t>**7. Which clause is executed after `GROUP BY`?**</t>
  </si>
  <si>
    <t>**8. Which command removes all rows but keeps the table structure?**</t>
  </si>
  <si>
    <t>**9. Which command modifies existing records?**</t>
  </si>
  <si>
    <t>**10. Which function returns the average value?**</t>
  </si>
  <si>
    <t>- A. COUNT()</t>
  </si>
  <si>
    <t>- C. SUM()</t>
  </si>
  <si>
    <t>- D. MAX()</t>
  </si>
  <si>
    <t>.</t>
  </si>
  <si>
    <t>### Query Writing</t>
  </si>
  <si>
    <t>1.  Display all records.</t>
  </si>
  <si>
    <t>2.  Display Name and Salary.</t>
  </si>
  <si>
    <t>3.  Salary \&gt; 50000.</t>
  </si>
  <si>
    <t>4.  City = Ahmedabad.</t>
  </si>
  <si>
    <t>5.  Age between 25 and 35.</t>
  </si>
  <si>
    <t>6.  Count employees.</t>
  </si>
  <si>
    <t>7.  Highest Salary.</t>
  </si>
  <si>
    <t>8.  Average Salary.</t>
  </si>
  <si>
    <t>9.  Department-wise Total Salary.</t>
  </si>
  <si>
    <t>10. Department-wise Average Salary.</t>
  </si>
  <si>
    <t>11. Departments having Average Salary \&gt; 55000.</t>
  </si>
  <si>
    <t>12. Order by Salary DESC.</t>
  </si>
  <si>
    <t>13. Update Rahul's salary to 45000.</t>
  </si>
  <si>
    <t>14. Delete EmpID 105.</t>
  </si>
  <si>
    <t># Section D -- Power BI (25 Marks)</t>
  </si>
  <si>
    <t>## Dataset: Sales_Data</t>
  </si>
  <si>
    <t xml:space="preserve">  -----------------------------------------------------------------------------------</t>
  </si>
  <si>
    <t xml:space="preserve">    OrderID Date         Category      Product   Region     Sales   Profit   Quantity</t>
  </si>
  <si>
    <t xml:space="preserve">  --------- ------------ ------------- --------- -------- ------- -------- ----------</t>
  </si>
  <si>
    <t xml:space="preserve">       1001 01-01-2025   Electronics   Laptop    North      65000     8000          2</t>
  </si>
  <si>
    <t xml:space="preserve">       1002 03-01-2025   Furniture     Chair     West       12000     2000          5</t>
  </si>
  <si>
    <t xml:space="preserve">       1003 05-01-2025   Electronics   Mobile    South      30000     5000          6</t>
  </si>
  <si>
    <t xml:space="preserve">       1004 08-01-2025   Grocery       Rice      East        8000     1200         15</t>
  </si>
  <si>
    <t xml:space="preserve">       1005 10-01-2025   Furniture     Table     North      22000     3500          3</t>
  </si>
  <si>
    <t xml:space="preserve">       1006 12-01-2025   Electronics   TV        West       48000     7000          2</t>
  </si>
  <si>
    <t xml:space="preserve">       1007 15-01-2025   Grocery       Oil       South       9000     1500         10</t>
  </si>
  <si>
    <t xml:space="preserve">       1008 18-01-2025   Furniture     Sofa      East       42000     6000          1</t>
  </si>
  <si>
    <t xml:space="preserve">       1009 20-01-2025   Electronics   Monitor   North      18000     2500          4</t>
  </si>
  <si>
    <t xml:space="preserve">       1010 25-01-2025   Grocery       Wheat     West        7000      900         12</t>
  </si>
  <si>
    <t># Marking Scheme</t>
  </si>
  <si>
    <t xml:space="preserve">  Section          Marks</t>
  </si>
  <si>
    <t xml:space="preserve">  ------------ ---------</t>
  </si>
  <si>
    <t xml:space="preserve">  Statistics          20</t>
  </si>
  <si>
    <t xml:space="preserve">  Excel               25</t>
  </si>
  <si>
    <t xml:space="preserve">  SQL                 30</t>
  </si>
  <si>
    <t xml:space="preserve">  Power BI            25</t>
  </si>
  <si>
    <t xml:space="preserve">  Total              100</t>
  </si>
  <si>
    <t>(B) median</t>
  </si>
  <si>
    <t>(b) median</t>
  </si>
  <si>
    <t>(b)histogram</t>
  </si>
  <si>
    <t>(b) number of occurrences</t>
  </si>
  <si>
    <t>(B)highest-lowest</t>
  </si>
  <si>
    <t>EX</t>
  </si>
  <si>
    <t>N</t>
  </si>
  <si>
    <t>MEAN =</t>
  </si>
  <si>
    <t>65+70+72+68+75+80+72+68+90+70</t>
  </si>
  <si>
    <t>MEAN=73</t>
  </si>
  <si>
    <t xml:space="preserve">median=71 </t>
  </si>
  <si>
    <t>mode=90</t>
  </si>
  <si>
    <t>range=</t>
  </si>
  <si>
    <t>midpoints are= 5,10,15,20,25,35,45,55</t>
  </si>
  <si>
    <t>mean= 31.75</t>
  </si>
  <si>
    <t>Joining Year</t>
  </si>
  <si>
    <t>Sales</t>
  </si>
  <si>
    <t>EmpID</t>
  </si>
  <si>
    <t>Name</t>
  </si>
  <si>
    <t>Department</t>
  </si>
  <si>
    <t>City</t>
  </si>
  <si>
    <t>Salary</t>
  </si>
  <si>
    <t>Experience</t>
  </si>
  <si>
    <t>Rahul</t>
  </si>
  <si>
    <t>Ahmedabad</t>
  </si>
  <si>
    <t>Priya</t>
  </si>
  <si>
    <t>HR</t>
  </si>
  <si>
    <t>Mumbai</t>
  </si>
  <si>
    <t>Amit</t>
  </si>
  <si>
    <t>IT</t>
  </si>
  <si>
    <t>Pune</t>
  </si>
  <si>
    <t>Sneha</t>
  </si>
  <si>
    <t>Finance</t>
  </si>
  <si>
    <t>Delhi</t>
  </si>
  <si>
    <t>Karan</t>
  </si>
  <si>
    <t>Jaipur</t>
  </si>
  <si>
    <t>Neha</t>
  </si>
  <si>
    <t>Mohit</t>
  </si>
  <si>
    <t>Surat</t>
  </si>
  <si>
    <t>Riya</t>
  </si>
  <si>
    <t>Ajay</t>
  </si>
  <si>
    <t>Pooja</t>
  </si>
  <si>
    <t xml:space="preserve">total salary= </t>
  </si>
  <si>
    <t>avg. salary</t>
  </si>
  <si>
    <t>highest salary</t>
  </si>
  <si>
    <t>lowest salary</t>
  </si>
  <si>
    <t>count total employees</t>
  </si>
  <si>
    <t>countif (sales 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</si>
</sst>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94C3-FDBB-41DE-8BCD-1C25C4161170}">
  <dimension ref="A1:K283"/>
  <sheetViews>
    <sheetView tabSelected="1" topLeftCell="A101" workbookViewId="0">
      <selection activeCell="F121" sqref="F121"/>
    </sheetView>
  </sheetViews>
  <sheetFormatPr defaultRowHeight="15" x14ac:dyDescent="0.25"/>
  <cols>
    <col min="1" max="1" width="82.5703125" bestFit="1" customWidth="1"/>
    <col min="3" max="3" width="6.7109375" bestFit="1" customWidth="1"/>
    <col min="4" max="4" width="25" bestFit="1" customWidth="1"/>
    <col min="5" max="5" width="23" customWidth="1"/>
    <col min="6" max="6" width="22" customWidth="1"/>
    <col min="7" max="7" width="9.42578125" bestFit="1" customWidth="1"/>
    <col min="8" max="8" width="10.85546875" bestFit="1" customWidth="1"/>
    <col min="9" max="9" width="24.710937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1" spans="1:1" x14ac:dyDescent="0.25">
      <c r="A11" t="e" cm="1">
        <f t="array" ref="A11">-   Statistics</f>
        <v>#NAME?</v>
      </c>
    </row>
    <row r="12" spans="1:1" x14ac:dyDescent="0.25">
      <c r="A12" t="e" cm="1">
        <f t="array" ref="A12">-   Microsoft Excel</f>
        <v>#NAME?</v>
      </c>
    </row>
    <row r="13" spans="1:1" x14ac:dyDescent="0.25">
      <c r="A13" t="e" cm="1">
        <f t="array" ref="A13">-   SQL</f>
        <v>#NAME?</v>
      </c>
    </row>
    <row r="14" spans="1:1" x14ac:dyDescent="0.25">
      <c r="A14" t="e" cm="1">
        <f t="array" ref="A14">-   Power BI</f>
        <v>#NAME?</v>
      </c>
    </row>
    <row r="16" spans="1:1" x14ac:dyDescent="0.25">
      <c r="A16" t="s">
        <v>6</v>
      </c>
    </row>
    <row r="18" spans="1:1" x14ac:dyDescent="0.25">
      <c r="A18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7" spans="1:1" x14ac:dyDescent="0.25">
      <c r="A27" t="s">
        <v>6</v>
      </c>
    </row>
    <row r="29" spans="1:1" x14ac:dyDescent="0.25">
      <c r="A29" t="s">
        <v>14</v>
      </c>
    </row>
    <row r="31" spans="1:1" x14ac:dyDescent="0.25">
      <c r="A31" t="s">
        <v>15</v>
      </c>
    </row>
    <row r="33" spans="1:9" x14ac:dyDescent="0.25">
      <c r="A33" t="s">
        <v>16</v>
      </c>
    </row>
    <row r="34" spans="1:9" x14ac:dyDescent="0.25">
      <c r="A34" t="s">
        <v>17</v>
      </c>
    </row>
    <row r="35" spans="1:9" x14ac:dyDescent="0.25">
      <c r="A35" t="s">
        <v>18</v>
      </c>
      <c r="I35" t="s">
        <v>158</v>
      </c>
    </row>
    <row r="36" spans="1:9" x14ac:dyDescent="0.25">
      <c r="A36" t="s">
        <v>19</v>
      </c>
    </row>
    <row r="37" spans="1:9" x14ac:dyDescent="0.25">
      <c r="A37" t="s">
        <v>20</v>
      </c>
    </row>
    <row r="38" spans="1:9" x14ac:dyDescent="0.25">
      <c r="A38" t="s">
        <v>21</v>
      </c>
    </row>
    <row r="39" spans="1:9" x14ac:dyDescent="0.25">
      <c r="A39" t="s">
        <v>17</v>
      </c>
    </row>
    <row r="40" spans="1:9" x14ac:dyDescent="0.25">
      <c r="A40" t="s">
        <v>18</v>
      </c>
      <c r="I40" t="s">
        <v>159</v>
      </c>
    </row>
    <row r="41" spans="1:9" x14ac:dyDescent="0.25">
      <c r="A41" t="s">
        <v>22</v>
      </c>
    </row>
    <row r="42" spans="1:9" x14ac:dyDescent="0.25">
      <c r="A42" t="s">
        <v>23</v>
      </c>
    </row>
    <row r="43" spans="1:9" x14ac:dyDescent="0.25">
      <c r="A43" t="s">
        <v>24</v>
      </c>
    </row>
    <row r="44" spans="1:9" x14ac:dyDescent="0.25">
      <c r="A44" t="s">
        <v>25</v>
      </c>
    </row>
    <row r="45" spans="1:9" x14ac:dyDescent="0.25">
      <c r="A45" t="s">
        <v>26</v>
      </c>
      <c r="I45" t="s">
        <v>160</v>
      </c>
    </row>
    <row r="46" spans="1:9" x14ac:dyDescent="0.25">
      <c r="A46" t="s">
        <v>27</v>
      </c>
    </row>
    <row r="47" spans="1:9" x14ac:dyDescent="0.25">
      <c r="A47" t="s">
        <v>28</v>
      </c>
    </row>
    <row r="48" spans="1:9" x14ac:dyDescent="0.25">
      <c r="A48" t="s">
        <v>29</v>
      </c>
    </row>
    <row r="49" spans="1:9" x14ac:dyDescent="0.25">
      <c r="A49" t="s">
        <v>30</v>
      </c>
    </row>
    <row r="50" spans="1:9" x14ac:dyDescent="0.25">
      <c r="A50" t="s">
        <v>31</v>
      </c>
      <c r="I50" t="s">
        <v>161</v>
      </c>
    </row>
    <row r="51" spans="1:9" x14ac:dyDescent="0.25">
      <c r="A51" t="s">
        <v>32</v>
      </c>
    </row>
    <row r="52" spans="1:9" x14ac:dyDescent="0.25">
      <c r="A52" t="s">
        <v>33</v>
      </c>
    </row>
    <row r="53" spans="1:9" x14ac:dyDescent="0.25">
      <c r="A53" t="s">
        <v>34</v>
      </c>
    </row>
    <row r="54" spans="1:9" x14ac:dyDescent="0.25">
      <c r="A54" t="s">
        <v>35</v>
      </c>
    </row>
    <row r="55" spans="1:9" x14ac:dyDescent="0.25">
      <c r="A55" t="s">
        <v>36</v>
      </c>
    </row>
    <row r="56" spans="1:9" x14ac:dyDescent="0.25">
      <c r="A56" t="s">
        <v>37</v>
      </c>
      <c r="I56" t="s">
        <v>162</v>
      </c>
    </row>
    <row r="57" spans="1:9" x14ac:dyDescent="0.25">
      <c r="A57" t="s">
        <v>38</v>
      </c>
    </row>
    <row r="59" spans="1:9" x14ac:dyDescent="0.25">
      <c r="A59" t="s">
        <v>39</v>
      </c>
    </row>
    <row r="61" spans="1:9" x14ac:dyDescent="0.25">
      <c r="A61" t="s">
        <v>40</v>
      </c>
    </row>
    <row r="63" spans="1:9" x14ac:dyDescent="0.25">
      <c r="A63" t="s">
        <v>41</v>
      </c>
    </row>
    <row r="64" spans="1:9" x14ac:dyDescent="0.25">
      <c r="A64" t="s">
        <v>42</v>
      </c>
    </row>
    <row r="65" spans="1:11" x14ac:dyDescent="0.25">
      <c r="A65" t="s">
        <v>43</v>
      </c>
      <c r="D65" t="s">
        <v>165</v>
      </c>
      <c r="E65" s="1" t="s">
        <v>163</v>
      </c>
    </row>
    <row r="66" spans="1:11" x14ac:dyDescent="0.25">
      <c r="A66" t="s">
        <v>44</v>
      </c>
      <c r="E66" t="s">
        <v>164</v>
      </c>
    </row>
    <row r="67" spans="1:11" x14ac:dyDescent="0.25">
      <c r="A67" t="s">
        <v>45</v>
      </c>
      <c r="E67" s="1" t="s">
        <v>166</v>
      </c>
    </row>
    <row r="68" spans="1:11" x14ac:dyDescent="0.25">
      <c r="A68" t="s">
        <v>46</v>
      </c>
      <c r="F68">
        <v>10</v>
      </c>
    </row>
    <row r="69" spans="1:11" x14ac:dyDescent="0.25">
      <c r="A69" t="s">
        <v>47</v>
      </c>
    </row>
    <row r="70" spans="1:11" x14ac:dyDescent="0.25">
      <c r="A70" t="s">
        <v>48</v>
      </c>
      <c r="G70" t="s">
        <v>167</v>
      </c>
      <c r="I70" t="s">
        <v>168</v>
      </c>
      <c r="J70" t="s">
        <v>169</v>
      </c>
      <c r="K70" t="s">
        <v>170</v>
      </c>
    </row>
    <row r="71" spans="1:11" x14ac:dyDescent="0.25">
      <c r="A71" t="s">
        <v>49</v>
      </c>
    </row>
    <row r="72" spans="1:11" x14ac:dyDescent="0.25">
      <c r="A72" t="s">
        <v>50</v>
      </c>
    </row>
    <row r="73" spans="1:11" x14ac:dyDescent="0.25">
      <c r="A73" t="s">
        <v>51</v>
      </c>
      <c r="E73" s="1"/>
    </row>
    <row r="74" spans="1:11" x14ac:dyDescent="0.25">
      <c r="A74" t="s">
        <v>52</v>
      </c>
      <c r="E74" s="2"/>
    </row>
    <row r="75" spans="1:11" x14ac:dyDescent="0.25">
      <c r="A75" t="s">
        <v>53</v>
      </c>
    </row>
    <row r="76" spans="1:11" x14ac:dyDescent="0.25">
      <c r="A76" t="s">
        <v>41</v>
      </c>
    </row>
    <row r="77" spans="1:11" x14ac:dyDescent="0.25">
      <c r="A77" t="s">
        <v>54</v>
      </c>
    </row>
    <row r="79" spans="1:11" x14ac:dyDescent="0.25">
      <c r="A79" t="s">
        <v>55</v>
      </c>
    </row>
    <row r="80" spans="1:11" x14ac:dyDescent="0.25">
      <c r="A80" t="s">
        <v>41</v>
      </c>
    </row>
    <row r="81" spans="1:10" x14ac:dyDescent="0.25">
      <c r="A81" t="s">
        <v>56</v>
      </c>
    </row>
    <row r="82" spans="1:10" x14ac:dyDescent="0.25">
      <c r="A82" t="s">
        <v>57</v>
      </c>
      <c r="F82" t="s">
        <v>171</v>
      </c>
      <c r="J82" t="s">
        <v>172</v>
      </c>
    </row>
    <row r="83" spans="1:10" x14ac:dyDescent="0.25">
      <c r="A83" t="s">
        <v>58</v>
      </c>
    </row>
    <row r="84" spans="1:10" x14ac:dyDescent="0.25">
      <c r="A84" t="s">
        <v>59</v>
      </c>
    </row>
    <row r="85" spans="1:10" x14ac:dyDescent="0.25">
      <c r="A85" t="s">
        <v>60</v>
      </c>
    </row>
    <row r="86" spans="1:10" x14ac:dyDescent="0.25">
      <c r="A86" t="s">
        <v>61</v>
      </c>
    </row>
    <row r="87" spans="1:10" x14ac:dyDescent="0.25">
      <c r="A87" t="s">
        <v>62</v>
      </c>
    </row>
    <row r="88" spans="1:10" x14ac:dyDescent="0.25">
      <c r="A88" t="s">
        <v>63</v>
      </c>
    </row>
    <row r="89" spans="1:10" x14ac:dyDescent="0.25">
      <c r="A89" t="s">
        <v>41</v>
      </c>
    </row>
    <row r="90" spans="1:10" x14ac:dyDescent="0.25">
      <c r="A90" t="s">
        <v>64</v>
      </c>
    </row>
    <row r="92" spans="1:10" x14ac:dyDescent="0.25">
      <c r="A92" t="s">
        <v>6</v>
      </c>
    </row>
    <row r="94" spans="1:10" x14ac:dyDescent="0.25">
      <c r="A94" t="s">
        <v>65</v>
      </c>
    </row>
    <row r="96" spans="1:10" x14ac:dyDescent="0.25">
      <c r="A96" t="s">
        <v>66</v>
      </c>
    </row>
    <row r="98" spans="1:9" x14ac:dyDescent="0.25">
      <c r="A98" t="s">
        <v>67</v>
      </c>
    </row>
    <row r="99" spans="1:9" ht="30" x14ac:dyDescent="0.25">
      <c r="A99" t="s">
        <v>68</v>
      </c>
      <c r="C99" s="4" t="s">
        <v>175</v>
      </c>
      <c r="D99" s="5" t="s">
        <v>176</v>
      </c>
      <c r="E99" s="5" t="s">
        <v>177</v>
      </c>
      <c r="F99" s="5" t="s">
        <v>178</v>
      </c>
      <c r="G99" s="4" t="s">
        <v>179</v>
      </c>
      <c r="H99" s="4" t="s">
        <v>180</v>
      </c>
      <c r="I99" s="4" t="s">
        <v>173</v>
      </c>
    </row>
    <row r="100" spans="1:9" ht="30" x14ac:dyDescent="0.25">
      <c r="A100" t="s">
        <v>69</v>
      </c>
      <c r="C100" s="3">
        <v>101</v>
      </c>
      <c r="D100" s="6" t="s">
        <v>181</v>
      </c>
      <c r="E100" s="6" t="s">
        <v>174</v>
      </c>
      <c r="F100" s="6" t="s">
        <v>182</v>
      </c>
      <c r="G100" s="3">
        <v>42000</v>
      </c>
      <c r="H100" s="3">
        <v>2</v>
      </c>
      <c r="I100" s="3">
        <v>2022</v>
      </c>
    </row>
    <row r="101" spans="1:9" x14ac:dyDescent="0.25">
      <c r="A101" t="s">
        <v>70</v>
      </c>
      <c r="C101" s="3">
        <v>102</v>
      </c>
      <c r="D101" s="6" t="s">
        <v>183</v>
      </c>
      <c r="E101" s="6" t="s">
        <v>184</v>
      </c>
      <c r="F101" s="6" t="s">
        <v>185</v>
      </c>
      <c r="G101" s="3">
        <v>55000</v>
      </c>
      <c r="H101" s="3">
        <v>5</v>
      </c>
      <c r="I101" s="3">
        <v>2019</v>
      </c>
    </row>
    <row r="102" spans="1:9" x14ac:dyDescent="0.25">
      <c r="C102" s="3">
        <v>103</v>
      </c>
      <c r="D102" s="6" t="s">
        <v>186</v>
      </c>
      <c r="E102" s="6" t="s">
        <v>187</v>
      </c>
      <c r="F102" s="6" t="s">
        <v>188</v>
      </c>
      <c r="G102" s="3">
        <v>70000</v>
      </c>
      <c r="H102" s="3">
        <v>6</v>
      </c>
      <c r="I102" s="3">
        <v>2018</v>
      </c>
    </row>
    <row r="103" spans="1:9" x14ac:dyDescent="0.25">
      <c r="A103" t="s">
        <v>71</v>
      </c>
      <c r="C103" s="3">
        <v>104</v>
      </c>
      <c r="D103" s="6" t="s">
        <v>189</v>
      </c>
      <c r="E103" s="6" t="s">
        <v>190</v>
      </c>
      <c r="F103" s="6" t="s">
        <v>191</v>
      </c>
      <c r="G103" s="3">
        <v>48000</v>
      </c>
      <c r="H103" s="3">
        <v>3</v>
      </c>
      <c r="I103" s="3">
        <v>2021</v>
      </c>
    </row>
    <row r="104" spans="1:9" x14ac:dyDescent="0.25">
      <c r="C104" s="3">
        <v>105</v>
      </c>
      <c r="D104" s="6" t="s">
        <v>192</v>
      </c>
      <c r="E104" s="6" t="s">
        <v>174</v>
      </c>
      <c r="F104" s="6" t="s">
        <v>193</v>
      </c>
      <c r="G104" s="3">
        <v>38000</v>
      </c>
      <c r="H104" s="3">
        <v>1</v>
      </c>
      <c r="I104" s="3">
        <v>2024</v>
      </c>
    </row>
    <row r="105" spans="1:9" ht="30" x14ac:dyDescent="0.25">
      <c r="A105" t="s">
        <v>72</v>
      </c>
      <c r="C105" s="3">
        <v>106</v>
      </c>
      <c r="D105" s="6" t="s">
        <v>194</v>
      </c>
      <c r="E105" s="6" t="s">
        <v>184</v>
      </c>
      <c r="F105" s="6" t="s">
        <v>182</v>
      </c>
      <c r="G105" s="3">
        <v>62000</v>
      </c>
      <c r="H105" s="3">
        <v>7</v>
      </c>
      <c r="I105" s="3">
        <v>2017</v>
      </c>
    </row>
    <row r="106" spans="1:9" x14ac:dyDescent="0.25">
      <c r="C106" s="3">
        <v>107</v>
      </c>
      <c r="D106" s="6" t="s">
        <v>195</v>
      </c>
      <c r="E106" s="6" t="s">
        <v>187</v>
      </c>
      <c r="F106" s="6" t="s">
        <v>196</v>
      </c>
      <c r="G106" s="3">
        <v>85000</v>
      </c>
      <c r="H106" s="3">
        <v>8</v>
      </c>
      <c r="I106" s="3">
        <v>2016</v>
      </c>
    </row>
    <row r="107" spans="1:9" x14ac:dyDescent="0.25">
      <c r="A107" t="s">
        <v>73</v>
      </c>
      <c r="C107" s="3">
        <v>108</v>
      </c>
      <c r="D107" s="6" t="s">
        <v>197</v>
      </c>
      <c r="E107" s="6" t="s">
        <v>190</v>
      </c>
      <c r="F107" s="6" t="s">
        <v>185</v>
      </c>
      <c r="G107" s="3">
        <v>53000</v>
      </c>
      <c r="H107" s="3">
        <v>4</v>
      </c>
      <c r="I107" s="3">
        <v>2020</v>
      </c>
    </row>
    <row r="108" spans="1:9" x14ac:dyDescent="0.25">
      <c r="C108" s="3">
        <v>109</v>
      </c>
      <c r="D108" s="6" t="s">
        <v>198</v>
      </c>
      <c r="E108" s="6" t="s">
        <v>187</v>
      </c>
      <c r="F108" s="6" t="s">
        <v>191</v>
      </c>
      <c r="G108" s="3">
        <v>76000</v>
      </c>
      <c r="H108" s="3">
        <v>6</v>
      </c>
      <c r="I108" s="3">
        <v>2018</v>
      </c>
    </row>
    <row r="109" spans="1:9" ht="30" x14ac:dyDescent="0.25">
      <c r="A109" t="s">
        <v>74</v>
      </c>
      <c r="C109" s="3">
        <v>110</v>
      </c>
      <c r="D109" s="6" t="s">
        <v>199</v>
      </c>
      <c r="E109" s="6" t="s">
        <v>174</v>
      </c>
      <c r="F109" s="6" t="s">
        <v>182</v>
      </c>
      <c r="G109" s="3">
        <v>47000</v>
      </c>
      <c r="H109" s="3">
        <v>3</v>
      </c>
      <c r="I109" s="3">
        <v>2021</v>
      </c>
    </row>
    <row r="111" spans="1:9" ht="30" x14ac:dyDescent="0.25">
      <c r="A111" t="s">
        <v>75</v>
      </c>
      <c r="C111" s="3">
        <v>1</v>
      </c>
      <c r="D111" s="6" t="s">
        <v>200</v>
      </c>
      <c r="E111">
        <f>SUM(G100+G101+G102+G103+G104+G105+G106+G107+G108+G109)</f>
        <v>576000</v>
      </c>
    </row>
    <row r="113" spans="1:5" ht="30" x14ac:dyDescent="0.25">
      <c r="A113" t="s">
        <v>76</v>
      </c>
      <c r="C113" s="3">
        <v>2</v>
      </c>
      <c r="D113" s="6" t="s">
        <v>201</v>
      </c>
      <c r="E113">
        <f>AVERAGE(G100:G109)</f>
        <v>57600</v>
      </c>
    </row>
    <row r="115" spans="1:5" x14ac:dyDescent="0.25">
      <c r="A115" t="s">
        <v>77</v>
      </c>
      <c r="C115">
        <v>3</v>
      </c>
      <c r="D115" t="s">
        <v>202</v>
      </c>
      <c r="E115">
        <f>MAX(G100:G109)</f>
        <v>85000</v>
      </c>
    </row>
    <row r="117" spans="1:5" x14ac:dyDescent="0.25">
      <c r="A117" t="s">
        <v>78</v>
      </c>
      <c r="C117">
        <v>4</v>
      </c>
      <c r="D117" t="s">
        <v>203</v>
      </c>
      <c r="E117">
        <f>MIN(G100:G109)</f>
        <v>38000</v>
      </c>
    </row>
    <row r="119" spans="1:5" x14ac:dyDescent="0.25">
      <c r="A119" t="s">
        <v>79</v>
      </c>
      <c r="C119">
        <v>5</v>
      </c>
      <c r="D119" t="s">
        <v>204</v>
      </c>
      <c r="E119">
        <f>COUNT(C100:C109)</f>
        <v>10</v>
      </c>
    </row>
    <row r="120" spans="1:5" x14ac:dyDescent="0.25">
      <c r="A120" t="s">
        <v>67</v>
      </c>
    </row>
    <row r="121" spans="1:5" x14ac:dyDescent="0.25">
      <c r="C121">
        <v>6</v>
      </c>
    </row>
    <row r="122" spans="1:5" x14ac:dyDescent="0.25">
      <c r="A122" t="s">
        <v>80</v>
      </c>
    </row>
    <row r="123" spans="1:5" x14ac:dyDescent="0.25">
      <c r="C123">
        <v>7</v>
      </c>
      <c r="D123" t="s">
        <v>205</v>
      </c>
      <c r="E123">
        <f>COUNTIF(E100:E109,"sales")</f>
        <v>3</v>
      </c>
    </row>
    <row r="124" spans="1:5" x14ac:dyDescent="0.25">
      <c r="A124" t="s">
        <v>81</v>
      </c>
    </row>
    <row r="125" spans="1:5" x14ac:dyDescent="0.25">
      <c r="A125" t="s">
        <v>82</v>
      </c>
      <c r="C125">
        <v>8</v>
      </c>
    </row>
    <row r="126" spans="1:5" x14ac:dyDescent="0.25">
      <c r="A126" t="s">
        <v>83</v>
      </c>
    </row>
    <row r="127" spans="1:5" x14ac:dyDescent="0.25">
      <c r="A127" t="s">
        <v>84</v>
      </c>
    </row>
    <row r="128" spans="1:5" x14ac:dyDescent="0.25">
      <c r="A128" t="s">
        <v>85</v>
      </c>
    </row>
    <row r="129" spans="1:1" x14ac:dyDescent="0.25">
      <c r="A129" t="s">
        <v>86</v>
      </c>
    </row>
    <row r="130" spans="1:1" x14ac:dyDescent="0.25">
      <c r="A130" t="s">
        <v>87</v>
      </c>
    </row>
    <row r="131" spans="1:1" x14ac:dyDescent="0.25">
      <c r="A131" t="s">
        <v>88</v>
      </c>
    </row>
    <row r="132" spans="1:1" x14ac:dyDescent="0.25">
      <c r="A132" t="s">
        <v>89</v>
      </c>
    </row>
    <row r="133" spans="1:1" x14ac:dyDescent="0.25">
      <c r="A133" t="s">
        <v>90</v>
      </c>
    </row>
    <row r="135" spans="1:1" x14ac:dyDescent="0.25">
      <c r="A135" t="s">
        <v>91</v>
      </c>
    </row>
    <row r="137" spans="1:1" x14ac:dyDescent="0.25">
      <c r="A137" t="s">
        <v>92</v>
      </c>
    </row>
    <row r="138" spans="1:1" x14ac:dyDescent="0.25">
      <c r="A138" t="s">
        <v>93</v>
      </c>
    </row>
    <row r="139" spans="1:1" x14ac:dyDescent="0.25">
      <c r="A139" t="s">
        <v>94</v>
      </c>
    </row>
    <row r="140" spans="1:1" x14ac:dyDescent="0.25">
      <c r="A140" t="s">
        <v>95</v>
      </c>
    </row>
    <row r="141" spans="1:1" x14ac:dyDescent="0.25">
      <c r="A141" t="s">
        <v>96</v>
      </c>
    </row>
    <row r="142" spans="1:1" x14ac:dyDescent="0.25">
      <c r="A142" t="s">
        <v>97</v>
      </c>
    </row>
    <row r="143" spans="1:1" x14ac:dyDescent="0.25">
      <c r="A143" t="s">
        <v>98</v>
      </c>
    </row>
    <row r="144" spans="1:1" x14ac:dyDescent="0.25">
      <c r="A144" t="s">
        <v>99</v>
      </c>
    </row>
    <row r="145" spans="1:1" x14ac:dyDescent="0.25">
      <c r="A145" t="s">
        <v>100</v>
      </c>
    </row>
    <row r="146" spans="1:1" x14ac:dyDescent="0.25">
      <c r="A146" t="s">
        <v>101</v>
      </c>
    </row>
    <row r="148" spans="1:1" x14ac:dyDescent="0.25">
      <c r="A148" t="s">
        <v>6</v>
      </c>
    </row>
    <row r="150" spans="1:1" x14ac:dyDescent="0.25">
      <c r="A150" t="s">
        <v>102</v>
      </c>
    </row>
    <row r="153" spans="1:1" x14ac:dyDescent="0.25">
      <c r="A153" t="s">
        <v>103</v>
      </c>
    </row>
    <row r="155" spans="1:1" x14ac:dyDescent="0.25">
      <c r="A155" t="s">
        <v>104</v>
      </c>
    </row>
    <row r="157" spans="1:1" x14ac:dyDescent="0.25">
      <c r="A157" t="s">
        <v>105</v>
      </c>
    </row>
    <row r="159" spans="1:1" x14ac:dyDescent="0.25">
      <c r="A159" t="s">
        <v>106</v>
      </c>
    </row>
    <row r="161" spans="1:1" x14ac:dyDescent="0.25">
      <c r="A161" t="s">
        <v>107</v>
      </c>
    </row>
    <row r="163" spans="1:1" x14ac:dyDescent="0.25">
      <c r="A163" t="s">
        <v>108</v>
      </c>
    </row>
    <row r="165" spans="1:1" x14ac:dyDescent="0.25">
      <c r="A165" t="s">
        <v>109</v>
      </c>
    </row>
    <row r="167" spans="1:1" x14ac:dyDescent="0.25">
      <c r="A167" t="s">
        <v>110</v>
      </c>
    </row>
    <row r="169" spans="1:1" x14ac:dyDescent="0.25">
      <c r="A169" t="s">
        <v>111</v>
      </c>
    </row>
    <row r="171" spans="1:1" x14ac:dyDescent="0.25">
      <c r="A171" t="e" cm="1">
        <f t="array" ref="A171">- A. UPDATE</f>
        <v>#NAME?</v>
      </c>
    </row>
    <row r="172" spans="1:1" x14ac:dyDescent="0.25">
      <c r="A172" t="e" cm="1">
        <f t="array" ref="A172">- B. INSERT</f>
        <v>#NAME?</v>
      </c>
    </row>
    <row r="173" spans="1:1" x14ac:dyDescent="0.25">
      <c r="A173" t="e" cm="1">
        <f t="array" ref="A173">- C. DELETE</f>
        <v>#NAME?</v>
      </c>
    </row>
    <row r="174" spans="1:1" x14ac:dyDescent="0.25">
      <c r="A174" t="e" cm="1">
        <f t="array" ref="A174">- D. ALTER</f>
        <v>#NAME?</v>
      </c>
    </row>
    <row r="176" spans="1:1" x14ac:dyDescent="0.25">
      <c r="A176" t="s">
        <v>109</v>
      </c>
    </row>
    <row r="178" spans="1:1" x14ac:dyDescent="0.25">
      <c r="A178" t="s">
        <v>112</v>
      </c>
    </row>
    <row r="180" spans="1:1" x14ac:dyDescent="0.25">
      <c r="A180" t="e" cm="1">
        <f t="array" ref="A180">- A. WHERE</f>
        <v>#NAME?</v>
      </c>
    </row>
    <row r="181" spans="1:1" x14ac:dyDescent="0.25">
      <c r="A181" t="e" cm="1">
        <f t="array" ref="A181">- B. HAVING</f>
        <v>#NAME?</v>
      </c>
    </row>
    <row r="182" spans="1:1" x14ac:dyDescent="0.25">
      <c r="A182" t="e" cm="1">
        <f t="array" ref="A182">- C. ORDER BY</f>
        <v>#NAME?</v>
      </c>
    </row>
    <row r="183" spans="1:1" x14ac:dyDescent="0.25">
      <c r="A183" t="e" cm="1">
        <f t="array" ref="A183">- D. LIMIT</f>
        <v>#NAME?</v>
      </c>
    </row>
    <row r="185" spans="1:1" x14ac:dyDescent="0.25">
      <c r="A185" t="s">
        <v>109</v>
      </c>
    </row>
    <row r="187" spans="1:1" x14ac:dyDescent="0.25">
      <c r="A187" t="s">
        <v>113</v>
      </c>
    </row>
    <row r="189" spans="1:1" x14ac:dyDescent="0.25">
      <c r="A189" t="e" cm="1">
        <f t="array" ref="A189">- A. DELETE</f>
        <v>#NAME?</v>
      </c>
    </row>
    <row r="190" spans="1:1" x14ac:dyDescent="0.25">
      <c r="A190" t="e" cm="1">
        <f t="array" ref="A190">- B. DROP</f>
        <v>#NAME?</v>
      </c>
    </row>
    <row r="191" spans="1:1" x14ac:dyDescent="0.25">
      <c r="A191" t="e" cm="1">
        <f t="array" ref="A191">- C. TRUNCATE</f>
        <v>#NAME?</v>
      </c>
    </row>
    <row r="192" spans="1:1" x14ac:dyDescent="0.25">
      <c r="A192" t="e" cm="1">
        <f t="array" ref="A192">- D. REMOVE</f>
        <v>#NAME?</v>
      </c>
    </row>
    <row r="194" spans="1:1" x14ac:dyDescent="0.25">
      <c r="A194" t="s">
        <v>109</v>
      </c>
    </row>
    <row r="196" spans="1:1" x14ac:dyDescent="0.25">
      <c r="A196" t="s">
        <v>114</v>
      </c>
    </row>
    <row r="198" spans="1:1" x14ac:dyDescent="0.25">
      <c r="A198" t="e" cm="1">
        <f t="array" ref="A198">- A. CHANGE</f>
        <v>#NAME?</v>
      </c>
    </row>
    <row r="199" spans="1:1" x14ac:dyDescent="0.25">
      <c r="A199" t="e" cm="1">
        <f t="array" ref="A199">- B. ALTER</f>
        <v>#NAME?</v>
      </c>
    </row>
    <row r="200" spans="1:1" x14ac:dyDescent="0.25">
      <c r="A200" t="e" cm="1">
        <f t="array" ref="A200">- C. UPDATE</f>
        <v>#NAME?</v>
      </c>
    </row>
    <row r="201" spans="1:1" x14ac:dyDescent="0.25">
      <c r="A201" t="e" cm="1">
        <f t="array" ref="A201">- D. MODIFY</f>
        <v>#NAME?</v>
      </c>
    </row>
    <row r="203" spans="1:1" x14ac:dyDescent="0.25">
      <c r="A203" t="s">
        <v>109</v>
      </c>
    </row>
    <row r="205" spans="1:1" x14ac:dyDescent="0.25">
      <c r="A205" t="s">
        <v>115</v>
      </c>
    </row>
    <row r="207" spans="1:1" x14ac:dyDescent="0.25">
      <c r="A207" t="s">
        <v>116</v>
      </c>
    </row>
    <row r="208" spans="1:1" x14ac:dyDescent="0.25">
      <c r="A208" t="e" cm="1">
        <f t="array" aca="1" ref="A208" ca="1">- B. AVG()</f>
        <v>#NAME?</v>
      </c>
    </row>
    <row r="209" spans="1:1" x14ac:dyDescent="0.25">
      <c r="A209" t="s">
        <v>117</v>
      </c>
    </row>
    <row r="210" spans="1:1" x14ac:dyDescent="0.25">
      <c r="A210" t="s">
        <v>118</v>
      </c>
    </row>
    <row r="211" spans="1:1" x14ac:dyDescent="0.25">
      <c r="A211" t="s">
        <v>119</v>
      </c>
    </row>
    <row r="213" spans="1:1" x14ac:dyDescent="0.25">
      <c r="A213" t="s">
        <v>120</v>
      </c>
    </row>
    <row r="215" spans="1:1" x14ac:dyDescent="0.25">
      <c r="A215" t="s">
        <v>121</v>
      </c>
    </row>
    <row r="216" spans="1:1" x14ac:dyDescent="0.25">
      <c r="A216" t="s">
        <v>122</v>
      </c>
    </row>
    <row r="217" spans="1:1" x14ac:dyDescent="0.25">
      <c r="A217" t="s">
        <v>123</v>
      </c>
    </row>
    <row r="218" spans="1:1" x14ac:dyDescent="0.25">
      <c r="A218" t="s">
        <v>124</v>
      </c>
    </row>
    <row r="219" spans="1:1" x14ac:dyDescent="0.25">
      <c r="A219" t="s">
        <v>125</v>
      </c>
    </row>
    <row r="220" spans="1:1" x14ac:dyDescent="0.25">
      <c r="A220" t="s">
        <v>126</v>
      </c>
    </row>
    <row r="221" spans="1:1" x14ac:dyDescent="0.25">
      <c r="A221" t="s">
        <v>127</v>
      </c>
    </row>
    <row r="222" spans="1:1" x14ac:dyDescent="0.25">
      <c r="A222" t="s">
        <v>128</v>
      </c>
    </row>
    <row r="223" spans="1:1" x14ac:dyDescent="0.25">
      <c r="A223" t="s">
        <v>129</v>
      </c>
    </row>
    <row r="224" spans="1:1" x14ac:dyDescent="0.25">
      <c r="A224" t="s">
        <v>130</v>
      </c>
    </row>
    <row r="225" spans="1:1" x14ac:dyDescent="0.25">
      <c r="A225" t="s">
        <v>131</v>
      </c>
    </row>
    <row r="226" spans="1:1" x14ac:dyDescent="0.25">
      <c r="A226" t="s">
        <v>132</v>
      </c>
    </row>
    <row r="227" spans="1:1" x14ac:dyDescent="0.25">
      <c r="A227" t="s">
        <v>133</v>
      </c>
    </row>
    <row r="228" spans="1:1" x14ac:dyDescent="0.25">
      <c r="A228" t="s">
        <v>134</v>
      </c>
    </row>
    <row r="230" spans="1:1" x14ac:dyDescent="0.25">
      <c r="A230" t="s">
        <v>6</v>
      </c>
    </row>
    <row r="232" spans="1:1" x14ac:dyDescent="0.25">
      <c r="A232" t="s">
        <v>135</v>
      </c>
    </row>
    <row r="234" spans="1:1" x14ac:dyDescent="0.25">
      <c r="A234" t="s">
        <v>136</v>
      </c>
    </row>
    <row r="236" spans="1:1" x14ac:dyDescent="0.25">
      <c r="A236" t="s">
        <v>137</v>
      </c>
    </row>
    <row r="237" spans="1:1" x14ac:dyDescent="0.25">
      <c r="A237" t="s">
        <v>138</v>
      </c>
    </row>
    <row r="238" spans="1:1" x14ac:dyDescent="0.25">
      <c r="A238" t="s">
        <v>139</v>
      </c>
    </row>
    <row r="239" spans="1:1" x14ac:dyDescent="0.25">
      <c r="A239" t="s">
        <v>140</v>
      </c>
    </row>
    <row r="241" spans="1:1" x14ac:dyDescent="0.25">
      <c r="A241" t="s">
        <v>141</v>
      </c>
    </row>
    <row r="243" spans="1:1" x14ac:dyDescent="0.25">
      <c r="A243" t="s">
        <v>142</v>
      </c>
    </row>
    <row r="245" spans="1:1" x14ac:dyDescent="0.25">
      <c r="A245" t="s">
        <v>143</v>
      </c>
    </row>
    <row r="247" spans="1:1" x14ac:dyDescent="0.25">
      <c r="A247" t="s">
        <v>144</v>
      </c>
    </row>
    <row r="249" spans="1:1" x14ac:dyDescent="0.25">
      <c r="A249" t="s">
        <v>145</v>
      </c>
    </row>
    <row r="251" spans="1:1" x14ac:dyDescent="0.25">
      <c r="A251" t="s">
        <v>146</v>
      </c>
    </row>
    <row r="253" spans="1:1" x14ac:dyDescent="0.25">
      <c r="A253" t="s">
        <v>147</v>
      </c>
    </row>
    <row r="255" spans="1:1" x14ac:dyDescent="0.25">
      <c r="A255" t="s">
        <v>148</v>
      </c>
    </row>
    <row r="257" spans="1:1" x14ac:dyDescent="0.25">
      <c r="A257" t="s">
        <v>149</v>
      </c>
    </row>
    <row r="258" spans="1:1" x14ac:dyDescent="0.25">
      <c r="A258" t="s">
        <v>137</v>
      </c>
    </row>
    <row r="260" spans="1:1" x14ac:dyDescent="0.25">
      <c r="A260" t="s">
        <v>91</v>
      </c>
    </row>
    <row r="262" spans="1:1" x14ac:dyDescent="0.25">
      <c r="A262" t="e" cm="1">
        <f t="array" ref="A262">-   Import dataset</f>
        <v>#NAME?</v>
      </c>
    </row>
    <row r="263" spans="1:1" x14ac:dyDescent="0.25">
      <c r="A263" t="e" cm="1">
        <f t="array" ref="A263">-   Correct data types</f>
        <v>#NAME?</v>
      </c>
    </row>
    <row r="264" spans="1:1" x14ac:dyDescent="0.25">
      <c r="A264" t="e">
        <f>-   Cards: Total Sales, Profit, Quantity</f>
        <v>#NAME?</v>
      </c>
    </row>
    <row r="265" spans="1:1" x14ac:dyDescent="0.25">
      <c r="A265" t="e" cm="1">
        <f t="array" ref="A265">-   Bar Chart: Sales BY Category</f>
        <v>#NAME?</v>
      </c>
    </row>
    <row r="266" spans="1:1" x14ac:dyDescent="0.25">
      <c r="A266" t="e" cm="1">
        <f t="array" ref="A266">-   Pie Chart: Sales BY Region</f>
        <v>#NAME?</v>
      </c>
    </row>
    <row r="267" spans="1:1" x14ac:dyDescent="0.25">
      <c r="A267" t="e" cm="1">
        <f t="array" ref="A267">-   Line Chart: Sales Trend</f>
        <v>#NAME?</v>
      </c>
    </row>
    <row r="268" spans="1:1" x14ac:dyDescent="0.25">
      <c r="A268" t="e" cm="1">
        <f t="array" ref="A268">-   Region Slicer</f>
        <v>#NAME?</v>
      </c>
    </row>
    <row r="269" spans="1:1" x14ac:dyDescent="0.25">
      <c r="A269" t="e" cm="1">
        <f t="array" ref="A269">-   Format report professionally</f>
        <v>#NAME?</v>
      </c>
    </row>
    <row r="271" spans="1:1" x14ac:dyDescent="0.25">
      <c r="A271" t="s">
        <v>6</v>
      </c>
    </row>
    <row r="273" spans="1:1" x14ac:dyDescent="0.25">
      <c r="A273" t="s">
        <v>150</v>
      </c>
    </row>
    <row r="274" spans="1:1" x14ac:dyDescent="0.25">
      <c r="A274" t="s">
        <v>41</v>
      </c>
    </row>
    <row r="275" spans="1:1" x14ac:dyDescent="0.25">
      <c r="A275" t="s">
        <v>151</v>
      </c>
    </row>
    <row r="276" spans="1:1" x14ac:dyDescent="0.25">
      <c r="A276" t="s">
        <v>152</v>
      </c>
    </row>
    <row r="277" spans="1:1" x14ac:dyDescent="0.25">
      <c r="A277" t="s">
        <v>153</v>
      </c>
    </row>
    <row r="278" spans="1:1" x14ac:dyDescent="0.25">
      <c r="A278" t="s">
        <v>154</v>
      </c>
    </row>
    <row r="279" spans="1:1" x14ac:dyDescent="0.25">
      <c r="A279" t="s">
        <v>155</v>
      </c>
    </row>
    <row r="280" spans="1:1" x14ac:dyDescent="0.25">
      <c r="A280" t="s">
        <v>156</v>
      </c>
    </row>
    <row r="281" spans="1:1" x14ac:dyDescent="0.25">
      <c r="A281" t="s">
        <v>152</v>
      </c>
    </row>
    <row r="282" spans="1:1" x14ac:dyDescent="0.25">
      <c r="A282" t="s">
        <v>157</v>
      </c>
    </row>
    <row r="283" spans="1:1" x14ac:dyDescent="0.25">
      <c r="A28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2026-09-21T08:53:41Z</dcterms:created>
  <dcterms:modified xsi:type="dcterms:W3CDTF">2026-09-21T10:23:05Z</dcterms:modified>
</cp:coreProperties>
</file>