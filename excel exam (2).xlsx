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CED18F79-9DC9-4F8E-B714-44DACDDEA55D}" xr6:coauthVersionLast="47" xr6:coauthVersionMax="47" xr10:uidLastSave="{00000000-0000-0000-0000-000000000000}"/>
  <bookViews>
    <workbookView xWindow="-120" yWindow="-120" windowWidth="20730" windowHeight="11040" xr2:uid="{EF36AE8C-91DC-4238-B7F6-B9736E691707}"/>
  </bookViews>
  <sheets>
    <sheet name="1" sheetId="3" r:id="rId1"/>
    <sheet name="2" sheetId="4" r:id="rId2"/>
    <sheet name="3" sheetId="2" r:id="rId3"/>
  </sheets>
  <externalReferences>
    <externalReference r:id="rId4"/>
  </externalReferenc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3" i="4" l="1"/>
  <c r="D22" i="4"/>
  <c r="C21" i="4"/>
  <c r="C20" i="4"/>
  <c r="C19" i="4"/>
  <c r="C18" i="4"/>
  <c r="C17" i="4"/>
  <c r="C16" i="4"/>
  <c r="C15" i="4"/>
  <c r="G13" i="4"/>
  <c r="G12" i="4"/>
  <c r="G11" i="4"/>
  <c r="G10" i="4"/>
  <c r="G9" i="4"/>
  <c r="G8" i="4"/>
  <c r="G7" i="4"/>
  <c r="G6" i="4"/>
  <c r="G5" i="4"/>
  <c r="G4" i="4"/>
  <c r="H10" i="3"/>
  <c r="I9" i="3"/>
  <c r="J9" i="3" s="1"/>
  <c r="J8" i="3"/>
  <c r="I8" i="3"/>
  <c r="I7" i="3"/>
  <c r="J7" i="3" s="1"/>
  <c r="J6" i="3"/>
  <c r="I6" i="3"/>
  <c r="I5" i="3"/>
  <c r="J5" i="3" s="1"/>
  <c r="J4" i="3"/>
  <c r="J10" i="3" s="1"/>
  <c r="I4" i="3"/>
  <c r="C18" i="3"/>
  <c r="C17" i="3"/>
  <c r="C16" i="3"/>
  <c r="C15" i="3"/>
</calcChain>
</file>

<file path=xl/sharedStrings.xml><?xml version="1.0" encoding="utf-8"?>
<sst xmlns="http://schemas.openxmlformats.org/spreadsheetml/2006/main" count="79" uniqueCount="64">
  <si>
    <t>Sales</t>
  </si>
  <si>
    <t>Rahul</t>
  </si>
  <si>
    <t>Priya</t>
  </si>
  <si>
    <t>HR</t>
  </si>
  <si>
    <t>Amit</t>
  </si>
  <si>
    <t>IT</t>
  </si>
  <si>
    <t>Sneha</t>
  </si>
  <si>
    <t>Finance</t>
  </si>
  <si>
    <t>Karan</t>
  </si>
  <si>
    <t>Neha</t>
  </si>
  <si>
    <t>Mohit</t>
  </si>
  <si>
    <t>Riya</t>
  </si>
  <si>
    <t>Ajay</t>
  </si>
  <si>
    <t>Pooja</t>
  </si>
  <si>
    <t>Row Labels</t>
  </si>
  <si>
    <t xml:space="preserve">Sum of SALARY </t>
  </si>
  <si>
    <t>Grand Total</t>
  </si>
  <si>
    <t>Column1</t>
  </si>
  <si>
    <t>Students</t>
  </si>
  <si>
    <t>Marks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</si>
  <si>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</si>
  <si>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</si>
  <si>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</si>
  <si>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</si>
  <si>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</si>
  <si>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</si>
  <si>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</si>
  <si>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</si>
  <si>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</si>
  <si>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</si>
  <si>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Mean</t>
  </si>
  <si>
    <t>Median</t>
  </si>
  <si>
    <t>Mode</t>
  </si>
  <si>
    <t>Range</t>
  </si>
  <si>
    <t>sum 1</t>
  </si>
  <si>
    <t>sum 2</t>
  </si>
  <si>
    <t>Class</t>
  </si>
  <si>
    <t>Frequency</t>
  </si>
  <si>
    <t>MidPoint</t>
  </si>
  <si>
    <t>0--10</t>
  </si>
  <si>
    <t>10--20</t>
  </si>
  <si>
    <t>20--30</t>
  </si>
  <si>
    <t>30--40</t>
  </si>
  <si>
    <t>40--50</t>
  </si>
  <si>
    <t>50--60</t>
  </si>
  <si>
    <t>mean</t>
  </si>
  <si>
    <t>EMP ID</t>
  </si>
  <si>
    <t>NAME</t>
  </si>
  <si>
    <t>DEPARTMENT</t>
  </si>
  <si>
    <t xml:space="preserve">SALARY </t>
  </si>
  <si>
    <t xml:space="preserve">EXPIERNCE </t>
  </si>
  <si>
    <t>JOINING YEAR</t>
  </si>
  <si>
    <t>SALARY CATEGORY</t>
  </si>
  <si>
    <t xml:space="preserve">Total Salary </t>
  </si>
  <si>
    <t>Average Salary</t>
  </si>
  <si>
    <t>Highest Salary</t>
  </si>
  <si>
    <t xml:space="preserve">Lowest Salary </t>
  </si>
  <si>
    <t>Total Employees</t>
  </si>
  <si>
    <t>Total Employees of Sales Department</t>
  </si>
  <si>
    <t>IT Department Salary</t>
  </si>
  <si>
    <t>Salary Using Emp Id</t>
  </si>
  <si>
    <t>Department based on Employee Name</t>
  </si>
  <si>
    <t>(B)median</t>
  </si>
  <si>
    <t>MCQ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</si>
</sst>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1" fillId="0" borderId="0" xfId="0" applyFont="1"/>
    <xf numFmtId="17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numFmt numFmtId="164" formatCode="[$₹-4009]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exam (2).xlsx]3!PivotTable1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'3'!$B$1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1B6-455C-B59B-0564ED010CD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1B6-455C-B59B-0564ED010CD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1B6-455C-B59B-0564ED010CD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1B6-455C-B59B-0564ED010CDB}"/>
              </c:ext>
            </c:extLst>
          </c:dPt>
          <c:cat>
            <c:strRef>
              <c:f>'3'!$A$2:$A$6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Sales</c:v>
                </c:pt>
              </c:strCache>
            </c:strRef>
          </c:cat>
          <c:val>
            <c:numRef>
              <c:f>'3'!$B$2:$B$6</c:f>
              <c:numCache>
                <c:formatCode>General</c:formatCode>
                <c:ptCount val="4"/>
                <c:pt idx="0">
                  <c:v>101000</c:v>
                </c:pt>
                <c:pt idx="1">
                  <c:v>117000</c:v>
                </c:pt>
                <c:pt idx="2">
                  <c:v>231000</c:v>
                </c:pt>
                <c:pt idx="3">
                  <c:v>127000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D-438C-8CB4-C18A957F3E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3</xdr:row>
      <xdr:rowOff>23812</xdr:rowOff>
    </xdr:from>
    <xdr:to>
      <xdr:col>10</xdr:col>
      <xdr:colOff>0</xdr:colOff>
      <xdr:row>17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73E95A-A452-F82A-33F1-6DAC9280FF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ownloads\ExcelExam%20(2).xlsx" TargetMode="External"/><Relationship Id="rId1" Type="http://schemas.openxmlformats.org/officeDocument/2006/relationships/externalLinkPath" Target="ExcelExam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40">
          <cell r="B40" t="str">
            <v>NAME</v>
          </cell>
          <cell r="C40" t="str">
            <v>DEPARTMENT</v>
          </cell>
        </row>
        <row r="41">
          <cell r="B41" t="str">
            <v>Mohit</v>
          </cell>
          <cell r="C41" t="str">
            <v>IT</v>
          </cell>
        </row>
        <row r="42">
          <cell r="B42" t="str">
            <v>Ajay</v>
          </cell>
          <cell r="C42" t="str">
            <v>IT</v>
          </cell>
        </row>
        <row r="43">
          <cell r="B43" t="str">
            <v>Amit</v>
          </cell>
          <cell r="C43" t="str">
            <v>IT</v>
          </cell>
        </row>
        <row r="44">
          <cell r="B44" t="str">
            <v>Neha</v>
          </cell>
          <cell r="C44" t="str">
            <v>HR</v>
          </cell>
        </row>
        <row r="45">
          <cell r="B45" t="str">
            <v>Priya</v>
          </cell>
          <cell r="C45" t="str">
            <v>HR</v>
          </cell>
        </row>
        <row r="46">
          <cell r="B46" t="str">
            <v>Riya</v>
          </cell>
          <cell r="C46" t="str">
            <v>Finance</v>
          </cell>
        </row>
        <row r="47">
          <cell r="B47" t="str">
            <v>Sneha</v>
          </cell>
          <cell r="C47" t="str">
            <v>Finance</v>
          </cell>
        </row>
        <row r="48">
          <cell r="B48" t="str">
            <v>Pooja</v>
          </cell>
          <cell r="C48" t="str">
            <v>Sales</v>
          </cell>
        </row>
        <row r="49">
          <cell r="B49" t="str">
            <v>Rahul</v>
          </cell>
          <cell r="C49" t="str">
            <v>Sales</v>
          </cell>
        </row>
        <row r="50">
          <cell r="B50" t="str">
            <v>Karan</v>
          </cell>
          <cell r="C50" t="str">
            <v>Sales</v>
          </cell>
        </row>
        <row r="60">
          <cell r="B60" t="str">
            <v>Amit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ExcelExam%20(2)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eta" refreshedDate="46286.6207125" createdVersion="8" refreshedVersion="8" minRefreshableVersion="3" recordCount="10" xr:uid="{0E34F025-2687-4CDF-A640-00BB69751E36}">
  <cacheSource type="worksheet">
    <worksheetSource name="Table1" r:id="rId2"/>
  </cacheSource>
  <cacheFields count="7">
    <cacheField name="EMP ID" numFmtId="0">
      <sharedItems containsSemiMixedTypes="0" containsString="0" containsNumber="1" containsInteger="1" minValue="101" maxValue="110"/>
    </cacheField>
    <cacheField name="NAME" numFmtId="0">
      <sharedItems/>
    </cacheField>
    <cacheField name="DEPARTMENT" numFmtId="0">
      <sharedItems count="4">
        <s v="IT"/>
        <s v="HR"/>
        <s v="Finance"/>
        <s v="Sales"/>
      </sharedItems>
    </cacheField>
    <cacheField name="SALARY " numFmtId="0">
      <sharedItems containsSemiMixedTypes="0" containsString="0" containsNumber="1" containsInteger="1" minValue="38000" maxValue="85000"/>
    </cacheField>
    <cacheField name="EXPIERNCE " numFmtId="0">
      <sharedItems containsSemiMixedTypes="0" containsString="0" containsNumber="1" containsInteger="1" minValue="1" maxValue="8"/>
    </cacheField>
    <cacheField name="JOINING YEAR" numFmtId="0">
      <sharedItems containsSemiMixedTypes="0" containsString="0" containsNumber="1" containsInteger="1" minValue="2016" maxValue="2024"/>
    </cacheField>
    <cacheField name="SALARY 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7"/>
    <s v="Mohit"/>
    <x v="0"/>
    <n v="85000"/>
    <n v="8"/>
    <n v="2016"/>
    <s v="High"/>
  </r>
  <r>
    <n v="109"/>
    <s v="Ajay"/>
    <x v="0"/>
    <n v="76000"/>
    <n v="6"/>
    <n v="2018"/>
    <s v="High"/>
  </r>
  <r>
    <n v="103"/>
    <s v="Amit"/>
    <x v="0"/>
    <n v="70000"/>
    <n v="6"/>
    <n v="2018"/>
    <s v="High"/>
  </r>
  <r>
    <n v="106"/>
    <s v="Neha"/>
    <x v="1"/>
    <n v="62000"/>
    <n v="7"/>
    <n v="2017"/>
    <s v="High"/>
  </r>
  <r>
    <n v="102"/>
    <s v="Priya"/>
    <x v="1"/>
    <n v="55000"/>
    <n v="5"/>
    <n v="2019"/>
    <s v="High"/>
  </r>
  <r>
    <n v="108"/>
    <s v="Riya"/>
    <x v="2"/>
    <n v="53000"/>
    <n v="4"/>
    <n v="2020"/>
    <s v="High"/>
  </r>
  <r>
    <n v="104"/>
    <s v="Sneha"/>
    <x v="2"/>
    <n v="48000"/>
    <n v="3"/>
    <n v="2021"/>
    <s v="Low"/>
  </r>
  <r>
    <n v="110"/>
    <s v="Pooja"/>
    <x v="3"/>
    <n v="47000"/>
    <n v="3"/>
    <n v="2021"/>
    <s v="Low"/>
  </r>
  <r>
    <n v="101"/>
    <s v="Rahul"/>
    <x v="3"/>
    <n v="42000"/>
    <n v="2"/>
    <n v="2022"/>
    <s v="Low"/>
  </r>
  <r>
    <n v="105"/>
    <s v="Karan"/>
    <x v="3"/>
    <n v="38000"/>
    <n v="1"/>
    <n v="2024"/>
    <s v="Lo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BB0D49-82CF-45D5-B5A8-B02E79A813C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1:B6" firstHeaderRow="1" firstDataRow="1" firstDataCol="1"/>
  <pivotFields count="7"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dataField="1"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ARY " fld="3" baseField="0" baseItem="0"/>
  </dataFields>
  <chartFormats count="1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957CA35-532E-4CE7-9323-9C07A05E045D}" name="Table2" displayName="Table2" ref="B3:C13" totalsRowShown="0">
  <autoFilter ref="B3:C13" xr:uid="{3957CA35-532E-4CE7-9323-9C07A05E045D}"/>
  <tableColumns count="2">
    <tableColumn id="1" xr3:uid="{FDD50566-32C1-4A26-B82E-5E9C0EF15B7D}" name="Students"/>
    <tableColumn id="2" xr3:uid="{3FF55E0C-E6FB-4391-BC52-5BB9795EF3C9}" name="Mark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3581A73-DBCA-46EC-BA54-9E8EEB7EA037}" name="Table3" displayName="Table3" ref="G3:J10" totalsRowShown="0">
  <autoFilter ref="G3:J10" xr:uid="{43581A73-DBCA-46EC-BA54-9E8EEB7EA037}"/>
  <tableColumns count="4">
    <tableColumn id="1" xr3:uid="{BAF48416-4F45-4FF2-96B3-1075C70983DC}" name="Class"/>
    <tableColumn id="2" xr3:uid="{718D1026-1F3D-4DAA-B95C-7DD0FB511B0F}" name="Frequency"/>
    <tableColumn id="3" xr3:uid="{E9FE5E6A-B974-41D7-AC10-D4161912C481}" name="MidPoint"/>
    <tableColumn id="4" xr3:uid="{360B95CA-E9CC-4EAD-88B3-92CC1BF66522}" name="Column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0AE4CBD-6C8B-4DD5-BFA5-536532498498}" name="Table1" displayName="Table1" ref="A3:G13" totalsRowShown="0">
  <autoFilter ref="A3:G13" xr:uid="{D0AE4CBD-6C8B-4DD5-BFA5-536532498498}"/>
  <sortState xmlns:xlrd2="http://schemas.microsoft.com/office/spreadsheetml/2017/richdata2" ref="A4:G13">
    <sortCondition descending="1" ref="D40:D50"/>
  </sortState>
  <tableColumns count="7">
    <tableColumn id="1" xr3:uid="{3A6DEC79-8D5F-4973-B304-A402C0FE92F7}" name="EMP ID"/>
    <tableColumn id="2" xr3:uid="{17D5A731-FE52-4B5B-ADE7-BA6995EE3880}" name="NAME"/>
    <tableColumn id="3" xr3:uid="{02C9E1E5-6619-49DD-9519-1741B862E076}" name="DEPARTMENT"/>
    <tableColumn id="4" xr3:uid="{9DA248C5-137A-4E2F-BEAF-4295D0B530F1}" name="SALARY " dataDxfId="1"/>
    <tableColumn id="5" xr3:uid="{438F2EFC-AA9C-4EE8-9E29-7B3EC2EE22F1}" name="EXPIERNCE "/>
    <tableColumn id="6" xr3:uid="{485A6A0E-AD90-4625-A31D-81E1D2BB5F71}" name="JOINING YEAR"/>
    <tableColumn id="7" xr3:uid="{4D774481-FECD-40E4-8742-D94FC23E0795}" name="SALARY CATEGORY">
      <calculatedColumnFormula>IF(D4&gt;50000,"High","Low")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B053C-AF77-4043-B2BA-93EAFF0571CD}">
  <dimension ref="A1:J25"/>
  <sheetViews>
    <sheetView tabSelected="1" topLeftCell="A9" workbookViewId="0">
      <selection activeCell="F23" sqref="F23"/>
    </sheetView>
  </sheetViews>
  <sheetFormatPr defaultRowHeight="15" x14ac:dyDescent="0.25"/>
  <cols>
    <col min="2" max="2" width="11.140625" bestFit="1" customWidth="1"/>
    <col min="3" max="3" width="11.7109375" customWidth="1"/>
    <col min="7" max="7" width="9.5703125" customWidth="1"/>
    <col min="8" max="8" width="12.5703125" bestFit="1" customWidth="1"/>
    <col min="9" max="9" width="11.5703125" bestFit="1" customWidth="1"/>
    <col min="10" max="10" width="11.140625" bestFit="1" customWidth="1"/>
  </cols>
  <sheetData>
    <row r="1" spans="1:10" x14ac:dyDescent="0.25">
      <c r="A1" t="s">
        <v>34</v>
      </c>
      <c r="G1" s="3" t="s">
        <v>35</v>
      </c>
    </row>
    <row r="3" spans="1:10" x14ac:dyDescent="0.25">
      <c r="B3" t="s">
        <v>18</v>
      </c>
      <c r="C3" t="s">
        <v>19</v>
      </c>
      <c r="G3" t="s">
        <v>36</v>
      </c>
      <c r="H3" t="s">
        <v>37</v>
      </c>
      <c r="I3" t="s">
        <v>38</v>
      </c>
      <c r="J3" t="s">
        <v>17</v>
      </c>
    </row>
    <row r="4" spans="1:10" x14ac:dyDescent="0.25">
      <c r="B4" t="s">
        <v>20</v>
      </c>
      <c r="C4">
        <v>65</v>
      </c>
      <c r="G4" t="s">
        <v>39</v>
      </c>
      <c r="H4">
        <v>4</v>
      </c>
      <c r="I4">
        <f>(0+10)/2</f>
        <v>5</v>
      </c>
      <c r="J4">
        <f>H4*I4</f>
        <v>20</v>
      </c>
    </row>
    <row r="5" spans="1:10" x14ac:dyDescent="0.25">
      <c r="B5" t="s">
        <v>21</v>
      </c>
      <c r="C5">
        <v>70</v>
      </c>
      <c r="G5" s="4" t="s">
        <v>40</v>
      </c>
      <c r="H5">
        <v>6</v>
      </c>
      <c r="I5">
        <f>(10+20)/2</f>
        <v>15</v>
      </c>
      <c r="J5">
        <f t="shared" ref="J5:J9" si="0">H5*I5</f>
        <v>90</v>
      </c>
    </row>
    <row r="6" spans="1:10" x14ac:dyDescent="0.25">
      <c r="B6" t="s">
        <v>22</v>
      </c>
      <c r="C6">
        <v>72</v>
      </c>
      <c r="G6" t="s">
        <v>41</v>
      </c>
      <c r="H6">
        <v>8</v>
      </c>
      <c r="I6">
        <f>(20+30)/2</f>
        <v>25</v>
      </c>
      <c r="J6">
        <f t="shared" si="0"/>
        <v>200</v>
      </c>
    </row>
    <row r="7" spans="1:10" x14ac:dyDescent="0.25">
      <c r="B7" t="s">
        <v>23</v>
      </c>
      <c r="C7">
        <v>68</v>
      </c>
      <c r="G7" t="s">
        <v>42</v>
      </c>
      <c r="H7">
        <v>10</v>
      </c>
      <c r="I7">
        <f>(30+40)/2</f>
        <v>35</v>
      </c>
      <c r="J7">
        <f t="shared" si="0"/>
        <v>350</v>
      </c>
    </row>
    <row r="8" spans="1:10" x14ac:dyDescent="0.25">
      <c r="B8" t="s">
        <v>24</v>
      </c>
      <c r="C8">
        <v>75</v>
      </c>
      <c r="G8" t="s">
        <v>43</v>
      </c>
      <c r="H8">
        <v>5</v>
      </c>
      <c r="I8">
        <f>(40+50)/2</f>
        <v>45</v>
      </c>
      <c r="J8">
        <f t="shared" si="0"/>
        <v>225</v>
      </c>
    </row>
    <row r="9" spans="1:10" x14ac:dyDescent="0.25">
      <c r="B9" t="s">
        <v>25</v>
      </c>
      <c r="C9">
        <v>80</v>
      </c>
      <c r="G9" t="s">
        <v>44</v>
      </c>
      <c r="H9">
        <v>7</v>
      </c>
      <c r="I9">
        <f>(50+60)/2</f>
        <v>55</v>
      </c>
      <c r="J9">
        <f t="shared" si="0"/>
        <v>385</v>
      </c>
    </row>
    <row r="10" spans="1:10" x14ac:dyDescent="0.25">
      <c r="B10" t="s">
        <v>26</v>
      </c>
      <c r="C10">
        <v>72</v>
      </c>
      <c r="H10">
        <f>SUM(H4:H9)</f>
        <v>40</v>
      </c>
      <c r="J10">
        <f>SUM(J4:J9)</f>
        <v>1270</v>
      </c>
    </row>
    <row r="11" spans="1:10" x14ac:dyDescent="0.25">
      <c r="B11" t="s">
        <v>27</v>
      </c>
      <c r="C11">
        <v>68</v>
      </c>
    </row>
    <row r="12" spans="1:10" x14ac:dyDescent="0.25">
      <c r="B12" t="s">
        <v>28</v>
      </c>
      <c r="C12">
        <v>90</v>
      </c>
    </row>
    <row r="13" spans="1:10" x14ac:dyDescent="0.25">
      <c r="B13" t="s">
        <v>29</v>
      </c>
      <c r="C13">
        <v>70</v>
      </c>
      <c r="G13" t="s">
        <v>45</v>
      </c>
      <c r="H13">
        <v>31.75</v>
      </c>
    </row>
    <row r="15" spans="1:10" x14ac:dyDescent="0.25">
      <c r="B15" t="s">
        <v>30</v>
      </c>
      <c r="C15">
        <f>AVERAGE(C4:C13)</f>
        <v>73</v>
      </c>
    </row>
    <row r="16" spans="1:10" x14ac:dyDescent="0.25">
      <c r="B16" t="s">
        <v>31</v>
      </c>
      <c r="C16">
        <f>MEDIAN(C4:C13)</f>
        <v>71</v>
      </c>
    </row>
    <row r="17" spans="1:3" x14ac:dyDescent="0.25">
      <c r="B17" t="s">
        <v>32</v>
      </c>
      <c r="C17">
        <f>_xlfn.MODE.SNGL(C4:C13)</f>
        <v>70</v>
      </c>
    </row>
    <row r="18" spans="1:3" x14ac:dyDescent="0.25">
      <c r="B18" t="s">
        <v>33</v>
      </c>
      <c r="C18">
        <f>MAX(C4:C13)-MIN(C4:C13)</f>
        <v>25</v>
      </c>
    </row>
    <row r="20" spans="1:3" x14ac:dyDescent="0.25">
      <c r="B20" t="s">
        <v>63</v>
      </c>
    </row>
    <row r="21" spans="1:3" x14ac:dyDescent="0.25">
      <c r="A21">
        <v>1</v>
      </c>
      <c r="B21" t="s">
        <v>62</v>
      </c>
    </row>
    <row r="22" spans="1:3" x14ac:dyDescent="0.25">
      <c r="A22">
        <v>2</v>
      </c>
      <c r="B22" t="s">
        <v>62</v>
      </c>
    </row>
    <row r="23" spans="1:3" x14ac:dyDescent="0.25">
      <c r="A23">
        <v>3</v>
      </c>
      <c r="B23" t="s">
        <v>62</v>
      </c>
    </row>
    <row r="24" spans="1:3" x14ac:dyDescent="0.25">
      <c r="A24">
        <v>4</v>
      </c>
      <c r="B24" t="s">
        <v>62</v>
      </c>
    </row>
    <row r="25" spans="1:3" x14ac:dyDescent="0.25">
      <c r="A25">
        <v>5</v>
      </c>
      <c r="B25" t="s">
        <v>62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11D93-BA83-4071-870E-3EB2A3E65F72}">
  <dimension ref="A3:G23"/>
  <sheetViews>
    <sheetView topLeftCell="A8" workbookViewId="0">
      <selection activeCell="E25" sqref="E25"/>
    </sheetView>
  </sheetViews>
  <sheetFormatPr defaultRowHeight="15" x14ac:dyDescent="0.25"/>
  <cols>
    <col min="1" max="1" width="19.7109375" bestFit="1" customWidth="1"/>
    <col min="3" max="3" width="15.5703125" bestFit="1" customWidth="1"/>
    <col min="4" max="4" width="10.7109375" bestFit="1" customWidth="1"/>
    <col min="5" max="5" width="13.28515625" bestFit="1" customWidth="1"/>
    <col min="6" max="6" width="16" bestFit="1" customWidth="1"/>
    <col min="7" max="7" width="20.28515625" bestFit="1" customWidth="1"/>
  </cols>
  <sheetData>
    <row r="3" spans="1:7" x14ac:dyDescent="0.25">
      <c r="A3" t="s">
        <v>46</v>
      </c>
      <c r="B3" t="s">
        <v>47</v>
      </c>
      <c r="C3" t="s">
        <v>48</v>
      </c>
      <c r="D3" s="5" t="s">
        <v>49</v>
      </c>
      <c r="E3" t="s">
        <v>50</v>
      </c>
      <c r="F3" t="s">
        <v>51</v>
      </c>
      <c r="G3" t="s">
        <v>52</v>
      </c>
    </row>
    <row r="4" spans="1:7" x14ac:dyDescent="0.25">
      <c r="A4">
        <v>107</v>
      </c>
      <c r="B4" t="s">
        <v>10</v>
      </c>
      <c r="C4" t="s">
        <v>5</v>
      </c>
      <c r="D4" s="5">
        <v>85000</v>
      </c>
      <c r="E4">
        <v>8</v>
      </c>
      <c r="F4">
        <v>2016</v>
      </c>
      <c r="G4" t="str">
        <f t="shared" ref="G4:G13" si="0">IF(D4&gt;50000,"High","Low")</f>
        <v>High</v>
      </c>
    </row>
    <row r="5" spans="1:7" x14ac:dyDescent="0.25">
      <c r="A5">
        <v>109</v>
      </c>
      <c r="B5" t="s">
        <v>12</v>
      </c>
      <c r="C5" t="s">
        <v>5</v>
      </c>
      <c r="D5" s="5">
        <v>76000</v>
      </c>
      <c r="E5">
        <v>6</v>
      </c>
      <c r="F5">
        <v>2018</v>
      </c>
      <c r="G5" t="str">
        <f t="shared" si="0"/>
        <v>High</v>
      </c>
    </row>
    <row r="6" spans="1:7" x14ac:dyDescent="0.25">
      <c r="A6">
        <v>103</v>
      </c>
      <c r="B6" t="s">
        <v>4</v>
      </c>
      <c r="C6" t="s">
        <v>5</v>
      </c>
      <c r="D6" s="5">
        <v>70000</v>
      </c>
      <c r="E6">
        <v>6</v>
      </c>
      <c r="F6">
        <v>2018</v>
      </c>
      <c r="G6" t="str">
        <f t="shared" si="0"/>
        <v>High</v>
      </c>
    </row>
    <row r="7" spans="1:7" x14ac:dyDescent="0.25">
      <c r="A7">
        <v>106</v>
      </c>
      <c r="B7" t="s">
        <v>9</v>
      </c>
      <c r="C7" t="s">
        <v>3</v>
      </c>
      <c r="D7" s="5">
        <v>62000</v>
      </c>
      <c r="E7">
        <v>7</v>
      </c>
      <c r="F7">
        <v>2017</v>
      </c>
      <c r="G7" t="str">
        <f t="shared" si="0"/>
        <v>High</v>
      </c>
    </row>
    <row r="8" spans="1:7" x14ac:dyDescent="0.25">
      <c r="A8">
        <v>102</v>
      </c>
      <c r="B8" t="s">
        <v>2</v>
      </c>
      <c r="C8" t="s">
        <v>3</v>
      </c>
      <c r="D8" s="5">
        <v>55000</v>
      </c>
      <c r="E8">
        <v>5</v>
      </c>
      <c r="F8">
        <v>2019</v>
      </c>
      <c r="G8" t="str">
        <f t="shared" si="0"/>
        <v>High</v>
      </c>
    </row>
    <row r="9" spans="1:7" x14ac:dyDescent="0.25">
      <c r="A9">
        <v>108</v>
      </c>
      <c r="B9" t="s">
        <v>11</v>
      </c>
      <c r="C9" t="s">
        <v>7</v>
      </c>
      <c r="D9" s="5">
        <v>53000</v>
      </c>
      <c r="E9">
        <v>4</v>
      </c>
      <c r="F9">
        <v>2020</v>
      </c>
      <c r="G9" t="str">
        <f t="shared" si="0"/>
        <v>High</v>
      </c>
    </row>
    <row r="10" spans="1:7" x14ac:dyDescent="0.25">
      <c r="A10">
        <v>104</v>
      </c>
      <c r="B10" t="s">
        <v>6</v>
      </c>
      <c r="C10" t="s">
        <v>7</v>
      </c>
      <c r="D10" s="5">
        <v>48000</v>
      </c>
      <c r="E10">
        <v>3</v>
      </c>
      <c r="F10">
        <v>2021</v>
      </c>
      <c r="G10" t="str">
        <f t="shared" si="0"/>
        <v>Low</v>
      </c>
    </row>
    <row r="11" spans="1:7" x14ac:dyDescent="0.25">
      <c r="A11">
        <v>110</v>
      </c>
      <c r="B11" t="s">
        <v>13</v>
      </c>
      <c r="C11" t="s">
        <v>0</v>
      </c>
      <c r="D11" s="5">
        <v>47000</v>
      </c>
      <c r="E11">
        <v>3</v>
      </c>
      <c r="F11">
        <v>2021</v>
      </c>
      <c r="G11" t="str">
        <f t="shared" si="0"/>
        <v>Low</v>
      </c>
    </row>
    <row r="12" spans="1:7" x14ac:dyDescent="0.25">
      <c r="A12">
        <v>101</v>
      </c>
      <c r="B12" t="s">
        <v>1</v>
      </c>
      <c r="C12" t="s">
        <v>0</v>
      </c>
      <c r="D12" s="5">
        <v>42000</v>
      </c>
      <c r="E12">
        <v>2</v>
      </c>
      <c r="F12">
        <v>2022</v>
      </c>
      <c r="G12" t="str">
        <f t="shared" si="0"/>
        <v>Low</v>
      </c>
    </row>
    <row r="13" spans="1:7" x14ac:dyDescent="0.25">
      <c r="A13">
        <v>105</v>
      </c>
      <c r="B13" t="s">
        <v>8</v>
      </c>
      <c r="C13" t="s">
        <v>0</v>
      </c>
      <c r="D13" s="5">
        <v>38000</v>
      </c>
      <c r="E13">
        <v>1</v>
      </c>
      <c r="F13">
        <v>2024</v>
      </c>
      <c r="G13" t="str">
        <f t="shared" si="0"/>
        <v>Low</v>
      </c>
    </row>
    <row r="15" spans="1:7" x14ac:dyDescent="0.25">
      <c r="A15" t="s">
        <v>53</v>
      </c>
      <c r="C15" s="5">
        <f>SUM(Table1[[SALARY ]])</f>
        <v>576000</v>
      </c>
    </row>
    <row r="16" spans="1:7" x14ac:dyDescent="0.25">
      <c r="A16" t="s">
        <v>54</v>
      </c>
      <c r="C16">
        <f>AVERAGE(Table1[[SALARY ]])</f>
        <v>57600</v>
      </c>
    </row>
    <row r="17" spans="1:4" x14ac:dyDescent="0.25">
      <c r="A17" t="s">
        <v>55</v>
      </c>
      <c r="C17">
        <f>MAX(Table1[[SALARY ]])</f>
        <v>85000</v>
      </c>
    </row>
    <row r="18" spans="1:4" x14ac:dyDescent="0.25">
      <c r="A18" t="s">
        <v>56</v>
      </c>
      <c r="C18">
        <f>MIN(Table1[[SALARY ]])</f>
        <v>38000</v>
      </c>
    </row>
    <row r="19" spans="1:4" x14ac:dyDescent="0.25">
      <c r="A19" t="s">
        <v>57</v>
      </c>
      <c r="C19">
        <f>COUNT(Table1[EMP ID])</f>
        <v>10</v>
      </c>
    </row>
    <row r="20" spans="1:4" ht="30" x14ac:dyDescent="0.25">
      <c r="A20" s="6" t="s">
        <v>58</v>
      </c>
      <c r="C20">
        <f>COUNTIF(Table1[DEPARTMENT],"sales")</f>
        <v>3</v>
      </c>
    </row>
    <row r="21" spans="1:4" x14ac:dyDescent="0.25">
      <c r="A21" t="s">
        <v>59</v>
      </c>
      <c r="C21">
        <f>SUMIF(Table1[DEPARTMENT],"IT",Table1[[SALARY ]])</f>
        <v>231000</v>
      </c>
    </row>
    <row r="22" spans="1:4" x14ac:dyDescent="0.25">
      <c r="A22" t="s">
        <v>60</v>
      </c>
      <c r="C22">
        <v>101</v>
      </c>
      <c r="D22">
        <f>VLOOKUP(C22,Table1[[#All],[EMP ID]:[SALARY ]],4,FALSE)</f>
        <v>42000</v>
      </c>
    </row>
    <row r="23" spans="1:4" ht="30" x14ac:dyDescent="0.25">
      <c r="A23" s="6" t="s">
        <v>61</v>
      </c>
      <c r="C23" t="s">
        <v>4</v>
      </c>
      <c r="D23" t="str">
        <f>_xlfn.XLOOKUP([1]Sheet1!B60,[1]Sheet1!B40:B50,[1]Sheet1!C40:C50,"Not Found",0)</f>
        <v>IT</v>
      </c>
    </row>
  </sheetData>
  <conditionalFormatting sqref="D4:D13">
    <cfRule type="cellIs" dxfId="0" priority="1" operator="greaterThan">
      <formula>60000</formula>
    </cfRule>
  </conditionalFormatting>
  <dataValidations count="1">
    <dataValidation type="textLength" allowBlank="1" showInputMessage="1" showErrorMessage="1" sqref="C3:C13" xr:uid="{6D0FF9B3-298A-490B-9469-4253CB1B4475}">
      <formula1>2</formula1>
      <formula2>10</formula2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7E525-648A-4BE4-808A-7694FCF98528}">
  <dimension ref="A1:B6"/>
  <sheetViews>
    <sheetView workbookViewId="0">
      <selection activeCell="M17" sqref="M17"/>
    </sheetView>
  </sheetViews>
  <sheetFormatPr defaultRowHeight="15" x14ac:dyDescent="0.25"/>
  <cols>
    <col min="1" max="1" width="14.5703125" customWidth="1"/>
    <col min="2" max="2" width="15.7109375" customWidth="1"/>
  </cols>
  <sheetData>
    <row r="1" spans="1:2" x14ac:dyDescent="0.25">
      <c r="A1" s="2" t="s">
        <v>14</v>
      </c>
      <c r="B1" t="s">
        <v>15</v>
      </c>
    </row>
    <row r="2" spans="1:2" x14ac:dyDescent="0.25">
      <c r="A2" s="1" t="s">
        <v>7</v>
      </c>
      <c r="B2">
        <v>101000</v>
      </c>
    </row>
    <row r="3" spans="1:2" x14ac:dyDescent="0.25">
      <c r="A3" s="1" t="s">
        <v>3</v>
      </c>
      <c r="B3">
        <v>117000</v>
      </c>
    </row>
    <row r="4" spans="1:2" x14ac:dyDescent="0.25">
      <c r="A4" s="1" t="s">
        <v>5</v>
      </c>
      <c r="B4">
        <v>231000</v>
      </c>
    </row>
    <row r="5" spans="1:2" x14ac:dyDescent="0.25">
      <c r="A5" s="1" t="s">
        <v>0</v>
      </c>
      <c r="B5">
        <v>127000</v>
      </c>
    </row>
    <row r="6" spans="1:2" x14ac:dyDescent="0.25">
      <c r="A6" s="1" t="s">
        <v>16</v>
      </c>
      <c r="B6">
        <v>576000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ASDC7</dc:creator>
  <cp:lastModifiedBy>hp</cp:lastModifiedBy>
  <dcterms:created xsi:type="dcterms:W3CDTF">2026-09-21T08:53:41Z</dcterms:created>
  <dcterms:modified xsi:type="dcterms:W3CDTF">2026-09-24T08:46:14Z</dcterms:modified>
</cp:coreProperties>
</file>